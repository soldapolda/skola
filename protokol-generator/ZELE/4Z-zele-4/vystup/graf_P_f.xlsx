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2"/>
    <sheet name="Výpočty" sheetId="2" state="visible" r:id="rId3"/>
    <sheet name="Graf" sheetId="3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<sst xmlns="http://schemas.openxmlformats.org/spreadsheetml/2006/main" count="73" uniqueCount="57">
  <si>
    <t xml:space="preserve">Veličina</t>
  </si>
  <si>
    <t xml:space="preserve">Hodnota</t>
  </si>
  <si>
    <t xml:space="preserve">Jednotka</t>
  </si>
  <si>
    <t xml:space="preserve">Význam</t>
  </si>
  <si>
    <t xml:space="preserve">U</t>
  </si>
  <si>
    <t xml:space="preserve">V</t>
  </si>
  <si>
    <t xml:space="preserve">Efektivní hodnota napájecího napětí</t>
  </si>
  <si>
    <t xml:space="preserve">L₁</t>
  </si>
  <si>
    <t xml:space="preserve">H</t>
  </si>
  <si>
    <t xml:space="preserve">Indukčnost první cívky</t>
  </si>
  <si>
    <t xml:space="preserve">R₁</t>
  </si>
  <si>
    <t xml:space="preserve">Ω</t>
  </si>
  <si>
    <t xml:space="preserve">Odpor první cívky</t>
  </si>
  <si>
    <t xml:space="preserve">L₂</t>
  </si>
  <si>
    <t xml:space="preserve">Indukčnost druhé cívky</t>
  </si>
  <si>
    <t xml:space="preserve">R₂</t>
  </si>
  <si>
    <t xml:space="preserve">Odpor druhé cívky</t>
  </si>
  <si>
    <t xml:space="preserve">P</t>
  </si>
  <si>
    <t xml:space="preserve">W</t>
  </si>
  <si>
    <t xml:space="preserve">Požadovaný činný výkon</t>
  </si>
  <si>
    <t xml:space="preserve">Δf</t>
  </si>
  <si>
    <t xml:space="preserve">Hz</t>
  </si>
  <si>
    <t xml:space="preserve">Základní krok dat grafu</t>
  </si>
  <si>
    <t xml:space="preserve">fₘₐₓ</t>
  </si>
  <si>
    <t xml:space="preserve">Horní mez grafu</t>
  </si>
  <si>
    <t xml:space="preserve">Vzorec / hodnota</t>
  </si>
  <si>
    <t xml:space="preserve">Poznámka</t>
  </si>
  <si>
    <t xml:space="preserve">R</t>
  </si>
  <si>
    <t xml:space="preserve">Celkový sériový odpor</t>
  </si>
  <si>
    <t xml:space="preserve">L</t>
  </si>
  <si>
    <t xml:space="preserve">Celková indukčnost</t>
  </si>
  <si>
    <t xml:space="preserve">I – přesně</t>
  </si>
  <si>
    <t xml:space="preserve">A</t>
  </si>
  <si>
    <t xml:space="preserve">Proud bez průběžného zaokrouhlení</t>
  </si>
  <si>
    <t xml:space="preserve">f – přesně</t>
  </si>
  <si>
    <t xml:space="preserve">Přesný průsečík P(f)=2,1 W</t>
  </si>
  <si>
    <t xml:space="preserve">R – zaokr.</t>
  </si>
  <si>
    <t xml:space="preserve">Průběžně zaokrouhlený odpor</t>
  </si>
  <si>
    <t xml:space="preserve">L – zaokr.</t>
  </si>
  <si>
    <t xml:space="preserve">Průběžně zaokrouhlená indukčnost</t>
  </si>
  <si>
    <t xml:space="preserve">I – zaokr.</t>
  </si>
  <si>
    <t xml:space="preserve">Výsledek použitý v protokolu</t>
  </si>
  <si>
    <t xml:space="preserve">U_R</t>
  </si>
  <si>
    <t xml:space="preserve">Napětí na odporové části</t>
  </si>
  <si>
    <t xml:space="preserve">U_L</t>
  </si>
  <si>
    <t xml:space="preserve">Napětí na induktivní části</t>
  </si>
  <si>
    <t xml:space="preserve">X_L</t>
  </si>
  <si>
    <t xml:space="preserve">Induktivní reaktance</t>
  </si>
  <si>
    <t xml:space="preserve">f – protokol</t>
  </si>
  <si>
    <t xml:space="preserve">Průběžně zaokrouhlený výsledek</t>
  </si>
  <si>
    <t xml:space="preserve">P při f protokolu</t>
  </si>
  <si>
    <t xml:space="preserve">Kontrolní výkon 2,108 W</t>
  </si>
  <si>
    <t xml:space="preserve">f [Hz]</t>
  </si>
  <si>
    <t xml:space="preserve">P(f) [W]</t>
  </si>
  <si>
    <t xml:space="preserve">P požadovaný = 2,100 W</t>
  </si>
  <si>
    <t xml:space="preserve">Přesný: 355,194 Hz; 2,100 W</t>
  </si>
  <si>
    <t xml:space="preserve">Protokol: 354,481 Hz; 2,108 W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</si>
</sst>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[$-405]0.000"/>
    <numFmt numFmtId="166" formatCode="[$-405]0"/>
  </numFmts>
  <fonts count="8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  <font>
      <b val="true"/>
      <sz val="14"/>
      <name val="Arial"/>
      <family val="2"/>
    </font>
    <font>
      <sz val="8"/>
      <name val="Arial"/>
      <family val="2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9EAD3"/>
        <bgColor rgb="FFD9D9D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2F6B3B"/>
      <rgbColor rgb="FF000080"/>
      <rgbColor rgb="FFB36B25"/>
      <rgbColor rgb="FF800080"/>
      <rgbColor rgb="FF008080"/>
      <rgbColor rgb="FFC0C0C0"/>
      <rgbColor rgb="FF6B8E6B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400" spc="-1" strike="noStrike">
                <a:latin typeface="Arial"/>
              </a:defRPr>
            </a:pPr>
            <a:r>
              <a:rPr b="1" sz="1400" spc="-1" strike="noStrike">
                <a:latin typeface="Arial"/>
              </a:rPr>
              <a:t>ZÁVISLOST ČINNÉHO VÝKONU NA FREKVENCI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Graf!$B$1</c:f>
              <c:strCache>
                <c:ptCount val="1"/>
                <c:pt idx="0">
                  <c:v>P(f) [W]</c:v>
                </c:pt>
              </c:strCache>
            </c:strRef>
          </c:tx>
          <c:spPr>
            <a:solidFill>
              <a:srgbClr val="2f6b3b"/>
            </a:solidFill>
            <a:ln w="19800">
              <a:solidFill>
                <a:srgbClr val="2f6b3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strRef>
              <c:f>Graf!$A$2:$A$124</c:f>
              <c:strCache>
                <c:ptCount val="123"/>
                <c:pt idx="0">
                  <c:v>0,000</c:v>
                </c:pt>
                <c:pt idx="1">
                  <c:v>5,000</c:v>
                </c:pt>
                <c:pt idx="2">
                  <c:v>10,000</c:v>
                </c:pt>
                <c:pt idx="3">
                  <c:v>15,000</c:v>
                </c:pt>
                <c:pt idx="4">
                  <c:v>20,000</c:v>
                </c:pt>
                <c:pt idx="5">
                  <c:v>25,000</c:v>
                </c:pt>
                <c:pt idx="6">
                  <c:v>30,000</c:v>
                </c:pt>
                <c:pt idx="7">
                  <c:v>35,000</c:v>
                </c:pt>
                <c:pt idx="8">
                  <c:v>40,000</c:v>
                </c:pt>
                <c:pt idx="9">
                  <c:v>45,000</c:v>
                </c:pt>
                <c:pt idx="10">
                  <c:v>50,000</c:v>
                </c:pt>
                <c:pt idx="11">
                  <c:v>55,000</c:v>
                </c:pt>
                <c:pt idx="12">
                  <c:v>60,000</c:v>
                </c:pt>
                <c:pt idx="13">
                  <c:v>65,000</c:v>
                </c:pt>
                <c:pt idx="14">
                  <c:v>70,000</c:v>
                </c:pt>
                <c:pt idx="15">
                  <c:v>75,000</c:v>
                </c:pt>
                <c:pt idx="16">
                  <c:v>80,000</c:v>
                </c:pt>
                <c:pt idx="17">
                  <c:v>85,000</c:v>
                </c:pt>
                <c:pt idx="18">
                  <c:v>90,000</c:v>
                </c:pt>
                <c:pt idx="19">
                  <c:v>95,000</c:v>
                </c:pt>
                <c:pt idx="20">
                  <c:v>100,000</c:v>
                </c:pt>
                <c:pt idx="21">
                  <c:v>105,000</c:v>
                </c:pt>
                <c:pt idx="22">
                  <c:v>110,000</c:v>
                </c:pt>
                <c:pt idx="23">
                  <c:v>115,000</c:v>
                </c:pt>
                <c:pt idx="24">
                  <c:v>120,000</c:v>
                </c:pt>
                <c:pt idx="25">
                  <c:v>125,000</c:v>
                </c:pt>
                <c:pt idx="26">
                  <c:v>130,000</c:v>
                </c:pt>
                <c:pt idx="27">
                  <c:v>135,000</c:v>
                </c:pt>
                <c:pt idx="28">
                  <c:v>140,000</c:v>
                </c:pt>
                <c:pt idx="29">
                  <c:v>145,000</c:v>
                </c:pt>
                <c:pt idx="30">
                  <c:v>150,000</c:v>
                </c:pt>
                <c:pt idx="31">
                  <c:v>155,000</c:v>
                </c:pt>
                <c:pt idx="32">
                  <c:v>160,000</c:v>
                </c:pt>
                <c:pt idx="33">
                  <c:v>165,000</c:v>
                </c:pt>
                <c:pt idx="34">
                  <c:v>170,000</c:v>
                </c:pt>
                <c:pt idx="35">
                  <c:v>175,000</c:v>
                </c:pt>
                <c:pt idx="36">
                  <c:v>180,000</c:v>
                </c:pt>
                <c:pt idx="37">
                  <c:v>185,000</c:v>
                </c:pt>
                <c:pt idx="38">
                  <c:v>190,000</c:v>
                </c:pt>
                <c:pt idx="39">
                  <c:v>195,000</c:v>
                </c:pt>
                <c:pt idx="40">
                  <c:v>200,000</c:v>
                </c:pt>
                <c:pt idx="41">
                  <c:v>205,000</c:v>
                </c:pt>
                <c:pt idx="42">
                  <c:v>210,000</c:v>
                </c:pt>
                <c:pt idx="43">
                  <c:v>215,000</c:v>
                </c:pt>
                <c:pt idx="44">
                  <c:v>220,000</c:v>
                </c:pt>
                <c:pt idx="45">
                  <c:v>225,000</c:v>
                </c:pt>
                <c:pt idx="46">
                  <c:v>230,000</c:v>
                </c:pt>
                <c:pt idx="47">
                  <c:v>235,000</c:v>
                </c:pt>
                <c:pt idx="48">
                  <c:v>240,000</c:v>
                </c:pt>
                <c:pt idx="49">
                  <c:v>245,000</c:v>
                </c:pt>
                <c:pt idx="50">
                  <c:v>250,000</c:v>
                </c:pt>
                <c:pt idx="51">
                  <c:v>255,000</c:v>
                </c:pt>
                <c:pt idx="52">
                  <c:v>260,000</c:v>
                </c:pt>
                <c:pt idx="53">
                  <c:v>265,000</c:v>
                </c:pt>
                <c:pt idx="54">
                  <c:v>270,000</c:v>
                </c:pt>
                <c:pt idx="55">
                  <c:v>275,000</c:v>
                </c:pt>
                <c:pt idx="56">
                  <c:v>280,000</c:v>
                </c:pt>
                <c:pt idx="57">
                  <c:v>285,000</c:v>
                </c:pt>
                <c:pt idx="58">
                  <c:v>290,000</c:v>
                </c:pt>
                <c:pt idx="59">
                  <c:v>295,000</c:v>
                </c:pt>
                <c:pt idx="60">
                  <c:v>300,000</c:v>
                </c:pt>
                <c:pt idx="61">
                  <c:v>305,000</c:v>
                </c:pt>
                <c:pt idx="62">
                  <c:v>310,000</c:v>
                </c:pt>
                <c:pt idx="63">
                  <c:v>315,000</c:v>
                </c:pt>
                <c:pt idx="64">
                  <c:v>320,000</c:v>
                </c:pt>
                <c:pt idx="65">
                  <c:v>325,000</c:v>
                </c:pt>
                <c:pt idx="66">
                  <c:v>330,000</c:v>
                </c:pt>
                <c:pt idx="67">
                  <c:v>335,000</c:v>
                </c:pt>
                <c:pt idx="68">
                  <c:v>340,000</c:v>
                </c:pt>
                <c:pt idx="69">
                  <c:v>345,000</c:v>
                </c:pt>
                <c:pt idx="70">
                  <c:v>350,000</c:v>
                </c:pt>
                <c:pt idx="71">
                  <c:v>354,481</c:v>
                </c:pt>
                <c:pt idx="72">
                  <c:v>355,000</c:v>
                </c:pt>
                <c:pt idx="73">
                  <c:v>355,194</c:v>
                </c:pt>
                <c:pt idx="74">
                  <c:v>360,000</c:v>
                </c:pt>
                <c:pt idx="75">
                  <c:v>365,000</c:v>
                </c:pt>
                <c:pt idx="76">
                  <c:v>370,000</c:v>
                </c:pt>
                <c:pt idx="77">
                  <c:v>375,000</c:v>
                </c:pt>
                <c:pt idx="78">
                  <c:v>380,000</c:v>
                </c:pt>
                <c:pt idx="79">
                  <c:v>385,000</c:v>
                </c:pt>
                <c:pt idx="80">
                  <c:v>390,000</c:v>
                </c:pt>
                <c:pt idx="81">
                  <c:v>395,000</c:v>
                </c:pt>
                <c:pt idx="82">
                  <c:v>400,000</c:v>
                </c:pt>
                <c:pt idx="83">
                  <c:v>405,000</c:v>
                </c:pt>
                <c:pt idx="84">
                  <c:v>410,000</c:v>
                </c:pt>
                <c:pt idx="85">
                  <c:v>415,000</c:v>
                </c:pt>
                <c:pt idx="86">
                  <c:v>420,000</c:v>
                </c:pt>
                <c:pt idx="87">
                  <c:v>425,000</c:v>
                </c:pt>
                <c:pt idx="88">
                  <c:v>430,000</c:v>
                </c:pt>
                <c:pt idx="89">
                  <c:v>435,000</c:v>
                </c:pt>
                <c:pt idx="90">
                  <c:v>440,000</c:v>
                </c:pt>
                <c:pt idx="91">
                  <c:v>445,000</c:v>
                </c:pt>
                <c:pt idx="92">
                  <c:v>450,000</c:v>
                </c:pt>
                <c:pt idx="93">
                  <c:v>455,000</c:v>
                </c:pt>
                <c:pt idx="94">
                  <c:v>460,000</c:v>
                </c:pt>
                <c:pt idx="95">
                  <c:v>465,000</c:v>
                </c:pt>
                <c:pt idx="96">
                  <c:v>470,000</c:v>
                </c:pt>
                <c:pt idx="97">
                  <c:v>475,000</c:v>
                </c:pt>
                <c:pt idx="98">
                  <c:v>480,000</c:v>
                </c:pt>
                <c:pt idx="99">
                  <c:v>485,000</c:v>
                </c:pt>
                <c:pt idx="100">
                  <c:v>490,000</c:v>
                </c:pt>
                <c:pt idx="101">
                  <c:v>495,000</c:v>
                </c:pt>
                <c:pt idx="102">
                  <c:v>500,000</c:v>
                </c:pt>
                <c:pt idx="103">
                  <c:v>505,000</c:v>
                </c:pt>
                <c:pt idx="104">
                  <c:v>510,000</c:v>
                </c:pt>
                <c:pt idx="105">
                  <c:v>515,000</c:v>
                </c:pt>
                <c:pt idx="106">
                  <c:v>520,000</c:v>
                </c:pt>
                <c:pt idx="107">
                  <c:v>525,000</c:v>
                </c:pt>
                <c:pt idx="108">
                  <c:v>530,000</c:v>
                </c:pt>
                <c:pt idx="109">
                  <c:v>535,000</c:v>
                </c:pt>
                <c:pt idx="110">
                  <c:v>540,000</c:v>
                </c:pt>
                <c:pt idx="111">
                  <c:v>545,000</c:v>
                </c:pt>
                <c:pt idx="112">
                  <c:v>550,000</c:v>
                </c:pt>
                <c:pt idx="113">
                  <c:v>555,000</c:v>
                </c:pt>
                <c:pt idx="114">
                  <c:v>560,000</c:v>
                </c:pt>
                <c:pt idx="115">
                  <c:v>565,000</c:v>
                </c:pt>
                <c:pt idx="116">
                  <c:v>570,000</c:v>
                </c:pt>
                <c:pt idx="117">
                  <c:v>575,000</c:v>
                </c:pt>
                <c:pt idx="118">
                  <c:v>580,000</c:v>
                </c:pt>
                <c:pt idx="119">
                  <c:v>585,000</c:v>
                </c:pt>
                <c:pt idx="120">
                  <c:v>590,000</c:v>
                </c:pt>
                <c:pt idx="121">
                  <c:v>595,000</c:v>
                </c:pt>
                <c:pt idx="122">
                  <c:v>600,000</c:v>
                </c:pt>
              </c:strCache>
            </c:strRef>
          </c:xVal>
          <c:yVal>
            <c:numRef>
              <c:f>Graf!$B$2:$B$124</c:f>
              <c:numCache>
                <c:formatCode>General</c:formatCode>
                <c:ptCount val="123"/>
                <c:pt idx="0">
                  <c:v>21.875</c:v>
                </c:pt>
                <c:pt idx="1">
                  <c:v>21.8342578843548</c:v>
                </c:pt>
                <c:pt idx="2">
                  <c:v>21.7129370624857</c:v>
                </c:pt>
                <c:pt idx="3">
                  <c:v>21.5137042562807</c:v>
                </c:pt>
                <c:pt idx="4">
                  <c:v>21.2408428828905</c:v>
                </c:pt>
                <c:pt idx="5">
                  <c:v>20.900028268411</c:v>
                </c:pt>
                <c:pt idx="6">
                  <c:v>20.4980439978583</c:v>
                </c:pt>
                <c:pt idx="7">
                  <c:v>20.0424647002489</c:v>
                </c:pt>
                <c:pt idx="8">
                  <c:v>19.5413310018465</c:v>
                </c:pt>
                <c:pt idx="9">
                  <c:v>19.0028397545568</c:v>
                </c:pt>
                <c:pt idx="10">
                  <c:v>18.4350678129724</c:v>
                </c:pt>
                <c:pt idx="11">
                  <c:v>17.8457416581136</c:v>
                </c:pt>
                <c:pt idx="12">
                  <c:v>17.2420590746044</c:v>
                </c:pt>
                <c:pt idx="13">
                  <c:v>16.6305636848586</c:v>
                </c:pt>
                <c:pt idx="14">
                  <c:v>16.0170689240042</c:v>
                </c:pt>
                <c:pt idx="15">
                  <c:v>15.4066251908341</c:v>
                </c:pt>
                <c:pt idx="16">
                  <c:v>14.8035223757701</c:v>
                </c:pt>
                <c:pt idx="17">
                  <c:v>14.2113195317307</c:v>
                </c:pt>
                <c:pt idx="18">
                  <c:v>13.6328938310843</c:v>
                </c:pt>
                <c:pt idx="19">
                  <c:v>13.0705018500774</c:v>
                </c:pt>
                <c:pt idx="20">
                  <c:v>12.525847387905</c:v>
                </c:pt>
                <c:pt idx="21">
                  <c:v>12.0001512658853</c:v>
                </c:pt>
                <c:pt idx="22">
                  <c:v>11.4942197295805</c:v>
                </c:pt>
                <c:pt idx="23">
                  <c:v>11.0085091142423</c:v>
                </c:pt>
                <c:pt idx="24">
                  <c:v>10.5431852954793</c:v>
                </c:pt>
                <c:pt idx="25">
                  <c:v>10.0981771263969</c:v>
                </c:pt>
                <c:pt idx="26">
                  <c:v>9.67322357232825</c:v>
                </c:pt>
                <c:pt idx="27">
                  <c:v>9.26791461733854</c:v>
                </c:pt>
                <c:pt idx="28">
                  <c:v>8.88172625934764</c:v>
                </c:pt>
                <c:pt idx="29">
                  <c:v>8.51405005909191</c:v>
                </c:pt>
                <c:pt idx="30">
                  <c:v>8.16421778576326</c:v>
                </c:pt>
                <c:pt idx="31">
                  <c:v>7.83152172893916</c:v>
                </c:pt>
                <c:pt idx="32">
                  <c:v>7.51523123840454</c:v>
                </c:pt>
                <c:pt idx="33">
                  <c:v>7.21460602309868</c:v>
                </c:pt>
                <c:pt idx="34">
                  <c:v>6.92890669697678</c:v>
                </c:pt>
                <c:pt idx="35">
                  <c:v>6.65740300973169</c:v>
                </c:pt>
                <c:pt idx="36">
                  <c:v>6.39938014869237</c:v>
                </c:pt>
                <c:pt idx="37">
                  <c:v>6.1541434478398</c:v>
                </c:pt>
                <c:pt idx="38">
                  <c:v>5.92102179263159</c:v>
                </c:pt>
                <c:pt idx="39">
                  <c:v>5.69936996623653</c:v>
                </c:pt>
                <c:pt idx="40">
                  <c:v>5.48857014430227</c:v>
                </c:pt>
                <c:pt idx="41">
                  <c:v>5.28803271157838</c:v>
                </c:pt>
                <c:pt idx="42">
                  <c:v>5.09719654440942</c:v>
                </c:pt>
                <c:pt idx="43">
                  <c:v>4.9155288779742</c:v>
                </c:pt>
                <c:pt idx="44">
                  <c:v>4.74252485577664</c:v>
                </c:pt>
                <c:pt idx="45">
                  <c:v>4.57770684086493</c:v>
                </c:pt>
                <c:pt idx="46">
                  <c:v>4.42062355314784</c:v>
                </c:pt>
                <c:pt idx="47">
                  <c:v>4.27084908459103</c:v>
                </c:pt>
                <c:pt idx="48">
                  <c:v>4.1279818336476</c:v>
                </c:pt>
                <c:pt idx="49">
                  <c:v>3.99164339167904</c:v>
                </c:pt>
                <c:pt idx="50">
                  <c:v>3.86147740706692</c:v>
                </c:pt>
                <c:pt idx="51">
                  <c:v>3.73714844695325</c:v>
                </c:pt>
                <c:pt idx="52">
                  <c:v>3.61834087186197</c:v>
                </c:pt>
                <c:pt idx="53">
                  <c:v>3.50475773466352</c:v>
                </c:pt>
                <c:pt idx="54">
                  <c:v>3.39611971229331</c:v>
                </c:pt>
                <c:pt idx="55">
                  <c:v>3.29216407619208</c:v>
                </c:pt>
                <c:pt idx="56">
                  <c:v>3.19264370549376</c:v>
                </c:pt>
                <c:pt idx="57">
                  <c:v>3.09732614545168</c:v>
                </c:pt>
                <c:pt idx="58">
                  <c:v>3.00599271239278</c:v>
                </c:pt>
                <c:pt idx="59">
                  <c:v>2.91843764555822</c:v>
                </c:pt>
                <c:pt idx="60">
                  <c:v>2.83446730547626</c:v>
                </c:pt>
                <c:pt idx="61">
                  <c:v>2.75389941797713</c:v>
                </c:pt>
                <c:pt idx="62">
                  <c:v>2.67656236256457</c:v>
                </c:pt>
                <c:pt idx="63">
                  <c:v>2.60229450357667</c:v>
                </c:pt>
                <c:pt idx="64">
                  <c:v>2.53094356237631</c:v>
                </c:pt>
                <c:pt idx="65">
                  <c:v>2.46236602868939</c:v>
                </c:pt>
                <c:pt idx="66">
                  <c:v>2.39642660914273</c:v>
                </c:pt>
                <c:pt idx="67">
                  <c:v>2.33299771102961</c:v>
                </c:pt>
                <c:pt idx="68">
                  <c:v>2.27195895933998</c:v>
                </c:pt>
                <c:pt idx="69">
                  <c:v>2.21319674512615</c:v>
                </c:pt>
                <c:pt idx="70">
                  <c:v>2.15660380332659</c:v>
                </c:pt>
                <c:pt idx="71">
                  <c:v>2.10764518342031</c:v>
                </c:pt>
                <c:pt idx="72">
                  <c:v>2.10207881823579</c:v>
                </c:pt>
                <c:pt idx="73">
                  <c:v>2.099999999589</c:v>
                </c:pt>
                <c:pt idx="74">
                  <c:v>2.04952605488185</c:v>
                </c:pt>
                <c:pt idx="75">
                  <c:v>1.99885501465348</c:v>
                </c:pt>
                <c:pt idx="76">
                  <c:v>1.94998011360121</c:v>
                </c:pt>
                <c:pt idx="77">
                  <c:v>1.90282038192174</c:v>
                </c:pt>
                <c:pt idx="78">
                  <c:v>1.85729918321876</c:v>
                </c:pt>
                <c:pt idx="79">
                  <c:v>1.8133439522164</c:v>
                </c:pt>
                <c:pt idx="80">
                  <c:v>1.77088594968189</c:v>
                </c:pt>
                <c:pt idx="81">
                  <c:v>1.7298600333924</c:v>
                </c:pt>
                <c:pt idx="82">
                  <c:v>1.6902044440553</c:v>
                </c:pt>
                <c:pt idx="83">
                  <c:v>1.65186060516285</c:v>
                </c:pt>
                <c:pt idx="84">
                  <c:v>1.61477293582963</c:v>
                </c:pt>
                <c:pt idx="85">
                  <c:v>1.57888867572544</c:v>
                </c:pt>
                <c:pt idx="86">
                  <c:v>1.54415772127655</c:v>
                </c:pt>
                <c:pt idx="87">
                  <c:v>1.51053247236511</c:v>
                </c:pt>
                <c:pt idx="88">
                  <c:v>1.4779676888098</c:v>
                </c:pt>
                <c:pt idx="89">
                  <c:v>1.44642035596058</c:v>
                </c:pt>
                <c:pt idx="90">
                  <c:v>1.4158495587872</c:v>
                </c:pt>
                <c:pt idx="91">
                  <c:v>1.38621636388458</c:v>
                </c:pt>
                <c:pt idx="92">
                  <c:v>1.35748370885869</c:v>
                </c:pt>
                <c:pt idx="93">
                  <c:v>1.32961629859445</c:v>
                </c:pt>
                <c:pt idx="94">
                  <c:v>1.30258050794231</c:v>
                </c:pt>
                <c:pt idx="95">
                  <c:v>1.27634429039288</c:v>
                </c:pt>
                <c:pt idx="96">
                  <c:v>1.25087709233929</c:v>
                </c:pt>
                <c:pt idx="97">
                  <c:v>1.22614977255535</c:v>
                </c:pt>
                <c:pt idx="98">
                  <c:v>1.20213452654352</c:v>
                </c:pt>
                <c:pt idx="99">
                  <c:v>1.17880481543145</c:v>
                </c:pt>
                <c:pt idx="100">
                  <c:v>1.15613529911784</c:v>
                </c:pt>
                <c:pt idx="101">
                  <c:v>1.13410177338985</c:v>
                </c:pt>
                <c:pt idx="102">
                  <c:v>1.11268111075339</c:v>
                </c:pt>
                <c:pt idx="103">
                  <c:v>1.09185120473575</c:v>
                </c:pt>
                <c:pt idx="104">
                  <c:v>1.07159091743663</c:v>
                </c:pt>
                <c:pt idx="105">
                  <c:v>1.0518800301193</c:v>
                </c:pt>
                <c:pt idx="106">
                  <c:v>1.0326991966479</c:v>
                </c:pt>
                <c:pt idx="107">
                  <c:v>1.01402989959005</c:v>
                </c:pt>
                <c:pt idx="108">
                  <c:v>0.995854408816709</c:v>
                </c:pt>
                <c:pt idx="109">
                  <c:v>0.978155742442276</c:v>
                </c:pt>
                <c:pt idx="110">
                  <c:v>0.960917629958812</c:v>
                </c:pt>
                <c:pt idx="111">
                  <c:v>0.944124477428123</c:v>
                </c:pt>
                <c:pt idx="112">
                  <c:v>0.927761334604538</c:v>
                </c:pt>
                <c:pt idx="113">
                  <c:v>0.911813863869795</c:v>
                </c:pt>
                <c:pt idx="114">
                  <c:v>0.896268310869345</c:v>
                </c:pt>
                <c:pt idx="115">
                  <c:v>0.881111476746719</c:v>
                </c:pt>
                <c:pt idx="116">
                  <c:v>0.86633069187945</c:v>
                </c:pt>
                <c:pt idx="117">
                  <c:v>0.851913791026383</c:v>
                </c:pt>
                <c:pt idx="118">
                  <c:v>0.83784908980208</c:v>
                </c:pt>
                <c:pt idx="119">
                  <c:v>0.824125362399569</c:v>
                </c:pt>
                <c:pt idx="120">
                  <c:v>0.810731820487725</c:v>
                </c:pt>
                <c:pt idx="121">
                  <c:v>0.79765809321437</c:v>
                </c:pt>
                <c:pt idx="122">
                  <c:v>0.78489420825057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Graf!$C$1</c:f>
              <c:strCache>
                <c:ptCount val="1"/>
                <c:pt idx="0">
                  <c:v>P požadovaný = 2,100 W</c:v>
                </c:pt>
              </c:strCache>
            </c:strRef>
          </c:tx>
          <c:spPr>
            <a:solidFill>
              <a:srgbClr val="b36b25"/>
            </a:solidFill>
            <a:ln w="16200">
              <a:solidFill>
                <a:srgbClr val="b36b2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strRef>
              <c:f>Graf!$A$2:$A$124</c:f>
              <c:strCache>
                <c:ptCount val="123"/>
                <c:pt idx="0">
                  <c:v>0,000</c:v>
                </c:pt>
                <c:pt idx="1">
                  <c:v>5,000</c:v>
                </c:pt>
                <c:pt idx="2">
                  <c:v>10,000</c:v>
                </c:pt>
                <c:pt idx="3">
                  <c:v>15,000</c:v>
                </c:pt>
                <c:pt idx="4">
                  <c:v>20,000</c:v>
                </c:pt>
                <c:pt idx="5">
                  <c:v>25,000</c:v>
                </c:pt>
                <c:pt idx="6">
                  <c:v>30,000</c:v>
                </c:pt>
                <c:pt idx="7">
                  <c:v>35,000</c:v>
                </c:pt>
                <c:pt idx="8">
                  <c:v>40,000</c:v>
                </c:pt>
                <c:pt idx="9">
                  <c:v>45,000</c:v>
                </c:pt>
                <c:pt idx="10">
                  <c:v>50,000</c:v>
                </c:pt>
                <c:pt idx="11">
                  <c:v>55,000</c:v>
                </c:pt>
                <c:pt idx="12">
                  <c:v>60,000</c:v>
                </c:pt>
                <c:pt idx="13">
                  <c:v>65,000</c:v>
                </c:pt>
                <c:pt idx="14">
                  <c:v>70,000</c:v>
                </c:pt>
                <c:pt idx="15">
                  <c:v>75,000</c:v>
                </c:pt>
                <c:pt idx="16">
                  <c:v>80,000</c:v>
                </c:pt>
                <c:pt idx="17">
                  <c:v>85,000</c:v>
                </c:pt>
                <c:pt idx="18">
                  <c:v>90,000</c:v>
                </c:pt>
                <c:pt idx="19">
                  <c:v>95,000</c:v>
                </c:pt>
                <c:pt idx="20">
                  <c:v>100,000</c:v>
                </c:pt>
                <c:pt idx="21">
                  <c:v>105,000</c:v>
                </c:pt>
                <c:pt idx="22">
                  <c:v>110,000</c:v>
                </c:pt>
                <c:pt idx="23">
                  <c:v>115,000</c:v>
                </c:pt>
                <c:pt idx="24">
                  <c:v>120,000</c:v>
                </c:pt>
                <c:pt idx="25">
                  <c:v>125,000</c:v>
                </c:pt>
                <c:pt idx="26">
                  <c:v>130,000</c:v>
                </c:pt>
                <c:pt idx="27">
                  <c:v>135,000</c:v>
                </c:pt>
                <c:pt idx="28">
                  <c:v>140,000</c:v>
                </c:pt>
                <c:pt idx="29">
                  <c:v>145,000</c:v>
                </c:pt>
                <c:pt idx="30">
                  <c:v>150,000</c:v>
                </c:pt>
                <c:pt idx="31">
                  <c:v>155,000</c:v>
                </c:pt>
                <c:pt idx="32">
                  <c:v>160,000</c:v>
                </c:pt>
                <c:pt idx="33">
                  <c:v>165,000</c:v>
                </c:pt>
                <c:pt idx="34">
                  <c:v>170,000</c:v>
                </c:pt>
                <c:pt idx="35">
                  <c:v>175,000</c:v>
                </c:pt>
                <c:pt idx="36">
                  <c:v>180,000</c:v>
                </c:pt>
                <c:pt idx="37">
                  <c:v>185,000</c:v>
                </c:pt>
                <c:pt idx="38">
                  <c:v>190,000</c:v>
                </c:pt>
                <c:pt idx="39">
                  <c:v>195,000</c:v>
                </c:pt>
                <c:pt idx="40">
                  <c:v>200,000</c:v>
                </c:pt>
                <c:pt idx="41">
                  <c:v>205,000</c:v>
                </c:pt>
                <c:pt idx="42">
                  <c:v>210,000</c:v>
                </c:pt>
                <c:pt idx="43">
                  <c:v>215,000</c:v>
                </c:pt>
                <c:pt idx="44">
                  <c:v>220,000</c:v>
                </c:pt>
                <c:pt idx="45">
                  <c:v>225,000</c:v>
                </c:pt>
                <c:pt idx="46">
                  <c:v>230,000</c:v>
                </c:pt>
                <c:pt idx="47">
                  <c:v>235,000</c:v>
                </c:pt>
                <c:pt idx="48">
                  <c:v>240,000</c:v>
                </c:pt>
                <c:pt idx="49">
                  <c:v>245,000</c:v>
                </c:pt>
                <c:pt idx="50">
                  <c:v>250,000</c:v>
                </c:pt>
                <c:pt idx="51">
                  <c:v>255,000</c:v>
                </c:pt>
                <c:pt idx="52">
                  <c:v>260,000</c:v>
                </c:pt>
                <c:pt idx="53">
                  <c:v>265,000</c:v>
                </c:pt>
                <c:pt idx="54">
                  <c:v>270,000</c:v>
                </c:pt>
                <c:pt idx="55">
                  <c:v>275,000</c:v>
                </c:pt>
                <c:pt idx="56">
                  <c:v>280,000</c:v>
                </c:pt>
                <c:pt idx="57">
                  <c:v>285,000</c:v>
                </c:pt>
                <c:pt idx="58">
                  <c:v>290,000</c:v>
                </c:pt>
                <c:pt idx="59">
                  <c:v>295,000</c:v>
                </c:pt>
                <c:pt idx="60">
                  <c:v>300,000</c:v>
                </c:pt>
                <c:pt idx="61">
                  <c:v>305,000</c:v>
                </c:pt>
                <c:pt idx="62">
                  <c:v>310,000</c:v>
                </c:pt>
                <c:pt idx="63">
                  <c:v>315,000</c:v>
                </c:pt>
                <c:pt idx="64">
                  <c:v>320,000</c:v>
                </c:pt>
                <c:pt idx="65">
                  <c:v>325,000</c:v>
                </c:pt>
                <c:pt idx="66">
                  <c:v>330,000</c:v>
                </c:pt>
                <c:pt idx="67">
                  <c:v>335,000</c:v>
                </c:pt>
                <c:pt idx="68">
                  <c:v>340,000</c:v>
                </c:pt>
                <c:pt idx="69">
                  <c:v>345,000</c:v>
                </c:pt>
                <c:pt idx="70">
                  <c:v>350,000</c:v>
                </c:pt>
                <c:pt idx="71">
                  <c:v>354,481</c:v>
                </c:pt>
                <c:pt idx="72">
                  <c:v>355,000</c:v>
                </c:pt>
                <c:pt idx="73">
                  <c:v>355,194</c:v>
                </c:pt>
                <c:pt idx="74">
                  <c:v>360,000</c:v>
                </c:pt>
                <c:pt idx="75">
                  <c:v>365,000</c:v>
                </c:pt>
                <c:pt idx="76">
                  <c:v>370,000</c:v>
                </c:pt>
                <c:pt idx="77">
                  <c:v>375,000</c:v>
                </c:pt>
                <c:pt idx="78">
                  <c:v>380,000</c:v>
                </c:pt>
                <c:pt idx="79">
                  <c:v>385,000</c:v>
                </c:pt>
                <c:pt idx="80">
                  <c:v>390,000</c:v>
                </c:pt>
                <c:pt idx="81">
                  <c:v>395,000</c:v>
                </c:pt>
                <c:pt idx="82">
                  <c:v>400,000</c:v>
                </c:pt>
                <c:pt idx="83">
                  <c:v>405,000</c:v>
                </c:pt>
                <c:pt idx="84">
                  <c:v>410,000</c:v>
                </c:pt>
                <c:pt idx="85">
                  <c:v>415,000</c:v>
                </c:pt>
                <c:pt idx="86">
                  <c:v>420,000</c:v>
                </c:pt>
                <c:pt idx="87">
                  <c:v>425,000</c:v>
                </c:pt>
                <c:pt idx="88">
                  <c:v>430,000</c:v>
                </c:pt>
                <c:pt idx="89">
                  <c:v>435,000</c:v>
                </c:pt>
                <c:pt idx="90">
                  <c:v>440,000</c:v>
                </c:pt>
                <c:pt idx="91">
                  <c:v>445,000</c:v>
                </c:pt>
                <c:pt idx="92">
                  <c:v>450,000</c:v>
                </c:pt>
                <c:pt idx="93">
                  <c:v>455,000</c:v>
                </c:pt>
                <c:pt idx="94">
                  <c:v>460,000</c:v>
                </c:pt>
                <c:pt idx="95">
                  <c:v>465,000</c:v>
                </c:pt>
                <c:pt idx="96">
                  <c:v>470,000</c:v>
                </c:pt>
                <c:pt idx="97">
                  <c:v>475,000</c:v>
                </c:pt>
                <c:pt idx="98">
                  <c:v>480,000</c:v>
                </c:pt>
                <c:pt idx="99">
                  <c:v>485,000</c:v>
                </c:pt>
                <c:pt idx="100">
                  <c:v>490,000</c:v>
                </c:pt>
                <c:pt idx="101">
                  <c:v>495,000</c:v>
                </c:pt>
                <c:pt idx="102">
                  <c:v>500,000</c:v>
                </c:pt>
                <c:pt idx="103">
                  <c:v>505,000</c:v>
                </c:pt>
                <c:pt idx="104">
                  <c:v>510,000</c:v>
                </c:pt>
                <c:pt idx="105">
                  <c:v>515,000</c:v>
                </c:pt>
                <c:pt idx="106">
                  <c:v>520,000</c:v>
                </c:pt>
                <c:pt idx="107">
                  <c:v>525,000</c:v>
                </c:pt>
                <c:pt idx="108">
                  <c:v>530,000</c:v>
                </c:pt>
                <c:pt idx="109">
                  <c:v>535,000</c:v>
                </c:pt>
                <c:pt idx="110">
                  <c:v>540,000</c:v>
                </c:pt>
                <c:pt idx="111">
                  <c:v>545,000</c:v>
                </c:pt>
                <c:pt idx="112">
                  <c:v>550,000</c:v>
                </c:pt>
                <c:pt idx="113">
                  <c:v>555,000</c:v>
                </c:pt>
                <c:pt idx="114">
                  <c:v>560,000</c:v>
                </c:pt>
                <c:pt idx="115">
                  <c:v>565,000</c:v>
                </c:pt>
                <c:pt idx="116">
                  <c:v>570,000</c:v>
                </c:pt>
                <c:pt idx="117">
                  <c:v>575,000</c:v>
                </c:pt>
                <c:pt idx="118">
                  <c:v>580,000</c:v>
                </c:pt>
                <c:pt idx="119">
                  <c:v>585,000</c:v>
                </c:pt>
                <c:pt idx="120">
                  <c:v>590,000</c:v>
                </c:pt>
                <c:pt idx="121">
                  <c:v>595,000</c:v>
                </c:pt>
                <c:pt idx="122">
                  <c:v>600,000</c:v>
                </c:pt>
              </c:strCache>
            </c:strRef>
          </c:xVal>
          <c:yVal>
            <c:numRef>
              <c:f>Graf!$C$2:$C$124</c:f>
              <c:numCache>
                <c:formatCode>General</c:formatCode>
                <c:ptCount val="123"/>
                <c:pt idx="0">
                  <c:v>2.1</c:v>
                </c:pt>
                <c:pt idx="1">
                  <c:v>2.1</c:v>
                </c:pt>
                <c:pt idx="2">
                  <c:v>2.1</c:v>
                </c:pt>
                <c:pt idx="3">
                  <c:v>2.1</c:v>
                </c:pt>
                <c:pt idx="4">
                  <c:v>2.1</c:v>
                </c:pt>
                <c:pt idx="5">
                  <c:v>2.1</c:v>
                </c:pt>
                <c:pt idx="6">
                  <c:v>2.1</c:v>
                </c:pt>
                <c:pt idx="7">
                  <c:v>2.1</c:v>
                </c:pt>
                <c:pt idx="8">
                  <c:v>2.1</c:v>
                </c:pt>
                <c:pt idx="9">
                  <c:v>2.1</c:v>
                </c:pt>
                <c:pt idx="10">
                  <c:v>2.1</c:v>
                </c:pt>
                <c:pt idx="11">
                  <c:v>2.1</c:v>
                </c:pt>
                <c:pt idx="12">
                  <c:v>2.1</c:v>
                </c:pt>
                <c:pt idx="13">
                  <c:v>2.1</c:v>
                </c:pt>
                <c:pt idx="14">
                  <c:v>2.1</c:v>
                </c:pt>
                <c:pt idx="15">
                  <c:v>2.1</c:v>
                </c:pt>
                <c:pt idx="16">
                  <c:v>2.1</c:v>
                </c:pt>
                <c:pt idx="17">
                  <c:v>2.1</c:v>
                </c:pt>
                <c:pt idx="18">
                  <c:v>2.1</c:v>
                </c:pt>
                <c:pt idx="19">
                  <c:v>2.1</c:v>
                </c:pt>
                <c:pt idx="20">
                  <c:v>2.1</c:v>
                </c:pt>
                <c:pt idx="21">
                  <c:v>2.1</c:v>
                </c:pt>
                <c:pt idx="22">
                  <c:v>2.1</c:v>
                </c:pt>
                <c:pt idx="23">
                  <c:v>2.1</c:v>
                </c:pt>
                <c:pt idx="24">
                  <c:v>2.1</c:v>
                </c:pt>
                <c:pt idx="25">
                  <c:v>2.1</c:v>
                </c:pt>
                <c:pt idx="26">
                  <c:v>2.1</c:v>
                </c:pt>
                <c:pt idx="27">
                  <c:v>2.1</c:v>
                </c:pt>
                <c:pt idx="28">
                  <c:v>2.1</c:v>
                </c:pt>
                <c:pt idx="29">
                  <c:v>2.1</c:v>
                </c:pt>
                <c:pt idx="30">
                  <c:v>2.1</c:v>
                </c:pt>
                <c:pt idx="31">
                  <c:v>2.1</c:v>
                </c:pt>
                <c:pt idx="32">
                  <c:v>2.1</c:v>
                </c:pt>
                <c:pt idx="33">
                  <c:v>2.1</c:v>
                </c:pt>
                <c:pt idx="34">
                  <c:v>2.1</c:v>
                </c:pt>
                <c:pt idx="35">
                  <c:v>2.1</c:v>
                </c:pt>
                <c:pt idx="36">
                  <c:v>2.1</c:v>
                </c:pt>
                <c:pt idx="37">
                  <c:v>2.1</c:v>
                </c:pt>
                <c:pt idx="38">
                  <c:v>2.1</c:v>
                </c:pt>
                <c:pt idx="39">
                  <c:v>2.1</c:v>
                </c:pt>
                <c:pt idx="40">
                  <c:v>2.1</c:v>
                </c:pt>
                <c:pt idx="41">
                  <c:v>2.1</c:v>
                </c:pt>
                <c:pt idx="42">
                  <c:v>2.1</c:v>
                </c:pt>
                <c:pt idx="43">
                  <c:v>2.1</c:v>
                </c:pt>
                <c:pt idx="44">
                  <c:v>2.1</c:v>
                </c:pt>
                <c:pt idx="45">
                  <c:v>2.1</c:v>
                </c:pt>
                <c:pt idx="46">
                  <c:v>2.1</c:v>
                </c:pt>
                <c:pt idx="47">
                  <c:v>2.1</c:v>
                </c:pt>
                <c:pt idx="48">
                  <c:v>2.1</c:v>
                </c:pt>
                <c:pt idx="49">
                  <c:v>2.1</c:v>
                </c:pt>
                <c:pt idx="50">
                  <c:v>2.1</c:v>
                </c:pt>
                <c:pt idx="51">
                  <c:v>2.1</c:v>
                </c:pt>
                <c:pt idx="52">
                  <c:v>2.1</c:v>
                </c:pt>
                <c:pt idx="53">
                  <c:v>2.1</c:v>
                </c:pt>
                <c:pt idx="54">
                  <c:v>2.1</c:v>
                </c:pt>
                <c:pt idx="55">
                  <c:v>2.1</c:v>
                </c:pt>
                <c:pt idx="56">
                  <c:v>2.1</c:v>
                </c:pt>
                <c:pt idx="57">
                  <c:v>2.1</c:v>
                </c:pt>
                <c:pt idx="58">
                  <c:v>2.1</c:v>
                </c:pt>
                <c:pt idx="59">
                  <c:v>2.1</c:v>
                </c:pt>
                <c:pt idx="60">
                  <c:v>2.1</c:v>
                </c:pt>
                <c:pt idx="61">
                  <c:v>2.1</c:v>
                </c:pt>
                <c:pt idx="62">
                  <c:v>2.1</c:v>
                </c:pt>
                <c:pt idx="63">
                  <c:v>2.1</c:v>
                </c:pt>
                <c:pt idx="64">
                  <c:v>2.1</c:v>
                </c:pt>
                <c:pt idx="65">
                  <c:v>2.1</c:v>
                </c:pt>
                <c:pt idx="66">
                  <c:v>2.1</c:v>
                </c:pt>
                <c:pt idx="67">
                  <c:v>2.1</c:v>
                </c:pt>
                <c:pt idx="68">
                  <c:v>2.1</c:v>
                </c:pt>
                <c:pt idx="69">
                  <c:v>2.1</c:v>
                </c:pt>
                <c:pt idx="70">
                  <c:v>2.1</c:v>
                </c:pt>
                <c:pt idx="71">
                  <c:v>2.1</c:v>
                </c:pt>
                <c:pt idx="72">
                  <c:v>2.1</c:v>
                </c:pt>
                <c:pt idx="73">
                  <c:v>2.1</c:v>
                </c:pt>
                <c:pt idx="74">
                  <c:v>2.1</c:v>
                </c:pt>
                <c:pt idx="75">
                  <c:v>2.1</c:v>
                </c:pt>
                <c:pt idx="76">
                  <c:v>2.1</c:v>
                </c:pt>
                <c:pt idx="77">
                  <c:v>2.1</c:v>
                </c:pt>
                <c:pt idx="78">
                  <c:v>2.1</c:v>
                </c:pt>
                <c:pt idx="79">
                  <c:v>2.1</c:v>
                </c:pt>
                <c:pt idx="80">
                  <c:v>2.1</c:v>
                </c:pt>
                <c:pt idx="81">
                  <c:v>2.1</c:v>
                </c:pt>
                <c:pt idx="82">
                  <c:v>2.1</c:v>
                </c:pt>
                <c:pt idx="83">
                  <c:v>2.1</c:v>
                </c:pt>
                <c:pt idx="84">
                  <c:v>2.1</c:v>
                </c:pt>
                <c:pt idx="85">
                  <c:v>2.1</c:v>
                </c:pt>
                <c:pt idx="86">
                  <c:v>2.1</c:v>
                </c:pt>
                <c:pt idx="87">
                  <c:v>2.1</c:v>
                </c:pt>
                <c:pt idx="88">
                  <c:v>2.1</c:v>
                </c:pt>
                <c:pt idx="89">
                  <c:v>2.1</c:v>
                </c:pt>
                <c:pt idx="90">
                  <c:v>2.1</c:v>
                </c:pt>
                <c:pt idx="91">
                  <c:v>2.1</c:v>
                </c:pt>
                <c:pt idx="92">
                  <c:v>2.1</c:v>
                </c:pt>
                <c:pt idx="93">
                  <c:v>2.1</c:v>
                </c:pt>
                <c:pt idx="94">
                  <c:v>2.1</c:v>
                </c:pt>
                <c:pt idx="95">
                  <c:v>2.1</c:v>
                </c:pt>
                <c:pt idx="96">
                  <c:v>2.1</c:v>
                </c:pt>
                <c:pt idx="97">
                  <c:v>2.1</c:v>
                </c:pt>
                <c:pt idx="98">
                  <c:v>2.1</c:v>
                </c:pt>
                <c:pt idx="99">
                  <c:v>2.1</c:v>
                </c:pt>
                <c:pt idx="100">
                  <c:v>2.1</c:v>
                </c:pt>
                <c:pt idx="101">
                  <c:v>2.1</c:v>
                </c:pt>
                <c:pt idx="102">
                  <c:v>2.1</c:v>
                </c:pt>
                <c:pt idx="103">
                  <c:v>2.1</c:v>
                </c:pt>
                <c:pt idx="104">
                  <c:v>2.1</c:v>
                </c:pt>
                <c:pt idx="105">
                  <c:v>2.1</c:v>
                </c:pt>
                <c:pt idx="106">
                  <c:v>2.1</c:v>
                </c:pt>
                <c:pt idx="107">
                  <c:v>2.1</c:v>
                </c:pt>
                <c:pt idx="108">
                  <c:v>2.1</c:v>
                </c:pt>
                <c:pt idx="109">
                  <c:v>2.1</c:v>
                </c:pt>
                <c:pt idx="110">
                  <c:v>2.1</c:v>
                </c:pt>
                <c:pt idx="111">
                  <c:v>2.1</c:v>
                </c:pt>
                <c:pt idx="112">
                  <c:v>2.1</c:v>
                </c:pt>
                <c:pt idx="113">
                  <c:v>2.1</c:v>
                </c:pt>
                <c:pt idx="114">
                  <c:v>2.1</c:v>
                </c:pt>
                <c:pt idx="115">
                  <c:v>2.1</c:v>
                </c:pt>
                <c:pt idx="116">
                  <c:v>2.1</c:v>
                </c:pt>
                <c:pt idx="117">
                  <c:v>2.1</c:v>
                </c:pt>
                <c:pt idx="118">
                  <c:v>2.1</c:v>
                </c:pt>
                <c:pt idx="119">
                  <c:v>2.1</c:v>
                </c:pt>
                <c:pt idx="120">
                  <c:v>2.1</c:v>
                </c:pt>
                <c:pt idx="121">
                  <c:v>2.1</c:v>
                </c:pt>
                <c:pt idx="122">
                  <c:v>2.1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Graf!$D$1</c:f>
              <c:strCache>
                <c:ptCount val="1"/>
                <c:pt idx="0">
                  <c:v>Přesný: 355,194 Hz; 2,100 W</c:v>
                </c:pt>
              </c:strCache>
            </c:strRef>
          </c:tx>
          <c:spPr>
            <a:solidFill>
              <a:srgbClr val="1f4e79"/>
            </a:solidFill>
            <a:ln w="28800">
              <a:noFill/>
            </a:ln>
          </c:spPr>
          <c:marker>
            <c:symbol val="triangle"/>
            <c:size val="8"/>
            <c:spPr>
              <a:solidFill>
                <a:srgbClr val="1f4e79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strRef>
              <c:f>Graf!$A$2:$A$124</c:f>
              <c:strCache>
                <c:ptCount val="123"/>
                <c:pt idx="0">
                  <c:v>0,000</c:v>
                </c:pt>
                <c:pt idx="1">
                  <c:v>5,000</c:v>
                </c:pt>
                <c:pt idx="2">
                  <c:v>10,000</c:v>
                </c:pt>
                <c:pt idx="3">
                  <c:v>15,000</c:v>
                </c:pt>
                <c:pt idx="4">
                  <c:v>20,000</c:v>
                </c:pt>
                <c:pt idx="5">
                  <c:v>25,000</c:v>
                </c:pt>
                <c:pt idx="6">
                  <c:v>30,000</c:v>
                </c:pt>
                <c:pt idx="7">
                  <c:v>35,000</c:v>
                </c:pt>
                <c:pt idx="8">
                  <c:v>40,000</c:v>
                </c:pt>
                <c:pt idx="9">
                  <c:v>45,000</c:v>
                </c:pt>
                <c:pt idx="10">
                  <c:v>50,000</c:v>
                </c:pt>
                <c:pt idx="11">
                  <c:v>55,000</c:v>
                </c:pt>
                <c:pt idx="12">
                  <c:v>60,000</c:v>
                </c:pt>
                <c:pt idx="13">
                  <c:v>65,000</c:v>
                </c:pt>
                <c:pt idx="14">
                  <c:v>70,000</c:v>
                </c:pt>
                <c:pt idx="15">
                  <c:v>75,000</c:v>
                </c:pt>
                <c:pt idx="16">
                  <c:v>80,000</c:v>
                </c:pt>
                <c:pt idx="17">
                  <c:v>85,000</c:v>
                </c:pt>
                <c:pt idx="18">
                  <c:v>90,000</c:v>
                </c:pt>
                <c:pt idx="19">
                  <c:v>95,000</c:v>
                </c:pt>
                <c:pt idx="20">
                  <c:v>100,000</c:v>
                </c:pt>
                <c:pt idx="21">
                  <c:v>105,000</c:v>
                </c:pt>
                <c:pt idx="22">
                  <c:v>110,000</c:v>
                </c:pt>
                <c:pt idx="23">
                  <c:v>115,000</c:v>
                </c:pt>
                <c:pt idx="24">
                  <c:v>120,000</c:v>
                </c:pt>
                <c:pt idx="25">
                  <c:v>125,000</c:v>
                </c:pt>
                <c:pt idx="26">
                  <c:v>130,000</c:v>
                </c:pt>
                <c:pt idx="27">
                  <c:v>135,000</c:v>
                </c:pt>
                <c:pt idx="28">
                  <c:v>140,000</c:v>
                </c:pt>
                <c:pt idx="29">
                  <c:v>145,000</c:v>
                </c:pt>
                <c:pt idx="30">
                  <c:v>150,000</c:v>
                </c:pt>
                <c:pt idx="31">
                  <c:v>155,000</c:v>
                </c:pt>
                <c:pt idx="32">
                  <c:v>160,000</c:v>
                </c:pt>
                <c:pt idx="33">
                  <c:v>165,000</c:v>
                </c:pt>
                <c:pt idx="34">
                  <c:v>170,000</c:v>
                </c:pt>
                <c:pt idx="35">
                  <c:v>175,000</c:v>
                </c:pt>
                <c:pt idx="36">
                  <c:v>180,000</c:v>
                </c:pt>
                <c:pt idx="37">
                  <c:v>185,000</c:v>
                </c:pt>
                <c:pt idx="38">
                  <c:v>190,000</c:v>
                </c:pt>
                <c:pt idx="39">
                  <c:v>195,000</c:v>
                </c:pt>
                <c:pt idx="40">
                  <c:v>200,000</c:v>
                </c:pt>
                <c:pt idx="41">
                  <c:v>205,000</c:v>
                </c:pt>
                <c:pt idx="42">
                  <c:v>210,000</c:v>
                </c:pt>
                <c:pt idx="43">
                  <c:v>215,000</c:v>
                </c:pt>
                <c:pt idx="44">
                  <c:v>220,000</c:v>
                </c:pt>
                <c:pt idx="45">
                  <c:v>225,000</c:v>
                </c:pt>
                <c:pt idx="46">
                  <c:v>230,000</c:v>
                </c:pt>
                <c:pt idx="47">
                  <c:v>235,000</c:v>
                </c:pt>
                <c:pt idx="48">
                  <c:v>240,000</c:v>
                </c:pt>
                <c:pt idx="49">
                  <c:v>245,000</c:v>
                </c:pt>
                <c:pt idx="50">
                  <c:v>250,000</c:v>
                </c:pt>
                <c:pt idx="51">
                  <c:v>255,000</c:v>
                </c:pt>
                <c:pt idx="52">
                  <c:v>260,000</c:v>
                </c:pt>
                <c:pt idx="53">
                  <c:v>265,000</c:v>
                </c:pt>
                <c:pt idx="54">
                  <c:v>270,000</c:v>
                </c:pt>
                <c:pt idx="55">
                  <c:v>275,000</c:v>
                </c:pt>
                <c:pt idx="56">
                  <c:v>280,000</c:v>
                </c:pt>
                <c:pt idx="57">
                  <c:v>285,000</c:v>
                </c:pt>
                <c:pt idx="58">
                  <c:v>290,000</c:v>
                </c:pt>
                <c:pt idx="59">
                  <c:v>295,000</c:v>
                </c:pt>
                <c:pt idx="60">
                  <c:v>300,000</c:v>
                </c:pt>
                <c:pt idx="61">
                  <c:v>305,000</c:v>
                </c:pt>
                <c:pt idx="62">
                  <c:v>310,000</c:v>
                </c:pt>
                <c:pt idx="63">
                  <c:v>315,000</c:v>
                </c:pt>
                <c:pt idx="64">
                  <c:v>320,000</c:v>
                </c:pt>
                <c:pt idx="65">
                  <c:v>325,000</c:v>
                </c:pt>
                <c:pt idx="66">
                  <c:v>330,000</c:v>
                </c:pt>
                <c:pt idx="67">
                  <c:v>335,000</c:v>
                </c:pt>
                <c:pt idx="68">
                  <c:v>340,000</c:v>
                </c:pt>
                <c:pt idx="69">
                  <c:v>345,000</c:v>
                </c:pt>
                <c:pt idx="70">
                  <c:v>350,000</c:v>
                </c:pt>
                <c:pt idx="71">
                  <c:v>354,481</c:v>
                </c:pt>
                <c:pt idx="72">
                  <c:v>355,000</c:v>
                </c:pt>
                <c:pt idx="73">
                  <c:v>355,194</c:v>
                </c:pt>
                <c:pt idx="74">
                  <c:v>360,000</c:v>
                </c:pt>
                <c:pt idx="75">
                  <c:v>365,000</c:v>
                </c:pt>
                <c:pt idx="76">
                  <c:v>370,000</c:v>
                </c:pt>
                <c:pt idx="77">
                  <c:v>375,000</c:v>
                </c:pt>
                <c:pt idx="78">
                  <c:v>380,000</c:v>
                </c:pt>
                <c:pt idx="79">
                  <c:v>385,000</c:v>
                </c:pt>
                <c:pt idx="80">
                  <c:v>390,000</c:v>
                </c:pt>
                <c:pt idx="81">
                  <c:v>395,000</c:v>
                </c:pt>
                <c:pt idx="82">
                  <c:v>400,000</c:v>
                </c:pt>
                <c:pt idx="83">
                  <c:v>405,000</c:v>
                </c:pt>
                <c:pt idx="84">
                  <c:v>410,000</c:v>
                </c:pt>
                <c:pt idx="85">
                  <c:v>415,000</c:v>
                </c:pt>
                <c:pt idx="86">
                  <c:v>420,000</c:v>
                </c:pt>
                <c:pt idx="87">
                  <c:v>425,000</c:v>
                </c:pt>
                <c:pt idx="88">
                  <c:v>430,000</c:v>
                </c:pt>
                <c:pt idx="89">
                  <c:v>435,000</c:v>
                </c:pt>
                <c:pt idx="90">
                  <c:v>440,000</c:v>
                </c:pt>
                <c:pt idx="91">
                  <c:v>445,000</c:v>
                </c:pt>
                <c:pt idx="92">
                  <c:v>450,000</c:v>
                </c:pt>
                <c:pt idx="93">
                  <c:v>455,000</c:v>
                </c:pt>
                <c:pt idx="94">
                  <c:v>460,000</c:v>
                </c:pt>
                <c:pt idx="95">
                  <c:v>465,000</c:v>
                </c:pt>
                <c:pt idx="96">
                  <c:v>470,000</c:v>
                </c:pt>
                <c:pt idx="97">
                  <c:v>475,000</c:v>
                </c:pt>
                <c:pt idx="98">
                  <c:v>480,000</c:v>
                </c:pt>
                <c:pt idx="99">
                  <c:v>485,000</c:v>
                </c:pt>
                <c:pt idx="100">
                  <c:v>490,000</c:v>
                </c:pt>
                <c:pt idx="101">
                  <c:v>495,000</c:v>
                </c:pt>
                <c:pt idx="102">
                  <c:v>500,000</c:v>
                </c:pt>
                <c:pt idx="103">
                  <c:v>505,000</c:v>
                </c:pt>
                <c:pt idx="104">
                  <c:v>510,000</c:v>
                </c:pt>
                <c:pt idx="105">
                  <c:v>515,000</c:v>
                </c:pt>
                <c:pt idx="106">
                  <c:v>520,000</c:v>
                </c:pt>
                <c:pt idx="107">
                  <c:v>525,000</c:v>
                </c:pt>
                <c:pt idx="108">
                  <c:v>530,000</c:v>
                </c:pt>
                <c:pt idx="109">
                  <c:v>535,000</c:v>
                </c:pt>
                <c:pt idx="110">
                  <c:v>540,000</c:v>
                </c:pt>
                <c:pt idx="111">
                  <c:v>545,000</c:v>
                </c:pt>
                <c:pt idx="112">
                  <c:v>550,000</c:v>
                </c:pt>
                <c:pt idx="113">
                  <c:v>555,000</c:v>
                </c:pt>
                <c:pt idx="114">
                  <c:v>560,000</c:v>
                </c:pt>
                <c:pt idx="115">
                  <c:v>565,000</c:v>
                </c:pt>
                <c:pt idx="116">
                  <c:v>570,000</c:v>
                </c:pt>
                <c:pt idx="117">
                  <c:v>575,000</c:v>
                </c:pt>
                <c:pt idx="118">
                  <c:v>580,000</c:v>
                </c:pt>
                <c:pt idx="119">
                  <c:v>585,000</c:v>
                </c:pt>
                <c:pt idx="120">
                  <c:v>590,000</c:v>
                </c:pt>
                <c:pt idx="121">
                  <c:v>595,000</c:v>
                </c:pt>
                <c:pt idx="122">
                  <c:v>600,000</c:v>
                </c:pt>
              </c:strCache>
            </c:strRef>
          </c:xVal>
          <c:yVal>
            <c:numRef>
              <c:f>Graf!$D$2:$D$124</c:f>
              <c:numCache>
                <c:formatCode>General</c:formatCode>
                <c:ptCount val="123"/>
                <c:pt idx="73">
                  <c:v>2.099999999589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Graf!$E$1</c:f>
              <c:strCache>
                <c:ptCount val="1"/>
                <c:pt idx="0">
                  <c:v>Protokol: 354,481 Hz; 2,108 W</c:v>
                </c:pt>
              </c:strCache>
            </c:strRef>
          </c:tx>
          <c:spPr>
            <a:solidFill>
              <a:srgbClr val="c00000"/>
            </a:solidFill>
            <a:ln w="28800">
              <a:noFill/>
            </a:ln>
          </c:spPr>
          <c:marker>
            <c:symbol val="diamond"/>
            <c:size val="9"/>
            <c:spPr>
              <a:solidFill>
                <a:srgbClr val="c000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strRef>
              <c:f>Graf!$A$2:$A$124</c:f>
              <c:strCache>
                <c:ptCount val="123"/>
                <c:pt idx="0">
                  <c:v>0,000</c:v>
                </c:pt>
                <c:pt idx="1">
                  <c:v>5,000</c:v>
                </c:pt>
                <c:pt idx="2">
                  <c:v>10,000</c:v>
                </c:pt>
                <c:pt idx="3">
                  <c:v>15,000</c:v>
                </c:pt>
                <c:pt idx="4">
                  <c:v>20,000</c:v>
                </c:pt>
                <c:pt idx="5">
                  <c:v>25,000</c:v>
                </c:pt>
                <c:pt idx="6">
                  <c:v>30,000</c:v>
                </c:pt>
                <c:pt idx="7">
                  <c:v>35,000</c:v>
                </c:pt>
                <c:pt idx="8">
                  <c:v>40,000</c:v>
                </c:pt>
                <c:pt idx="9">
                  <c:v>45,000</c:v>
                </c:pt>
                <c:pt idx="10">
                  <c:v>50,000</c:v>
                </c:pt>
                <c:pt idx="11">
                  <c:v>55,000</c:v>
                </c:pt>
                <c:pt idx="12">
                  <c:v>60,000</c:v>
                </c:pt>
                <c:pt idx="13">
                  <c:v>65,000</c:v>
                </c:pt>
                <c:pt idx="14">
                  <c:v>70,000</c:v>
                </c:pt>
                <c:pt idx="15">
                  <c:v>75,000</c:v>
                </c:pt>
                <c:pt idx="16">
                  <c:v>80,000</c:v>
                </c:pt>
                <c:pt idx="17">
                  <c:v>85,000</c:v>
                </c:pt>
                <c:pt idx="18">
                  <c:v>90,000</c:v>
                </c:pt>
                <c:pt idx="19">
                  <c:v>95,000</c:v>
                </c:pt>
                <c:pt idx="20">
                  <c:v>100,000</c:v>
                </c:pt>
                <c:pt idx="21">
                  <c:v>105,000</c:v>
                </c:pt>
                <c:pt idx="22">
                  <c:v>110,000</c:v>
                </c:pt>
                <c:pt idx="23">
                  <c:v>115,000</c:v>
                </c:pt>
                <c:pt idx="24">
                  <c:v>120,000</c:v>
                </c:pt>
                <c:pt idx="25">
                  <c:v>125,000</c:v>
                </c:pt>
                <c:pt idx="26">
                  <c:v>130,000</c:v>
                </c:pt>
                <c:pt idx="27">
                  <c:v>135,000</c:v>
                </c:pt>
                <c:pt idx="28">
                  <c:v>140,000</c:v>
                </c:pt>
                <c:pt idx="29">
                  <c:v>145,000</c:v>
                </c:pt>
                <c:pt idx="30">
                  <c:v>150,000</c:v>
                </c:pt>
                <c:pt idx="31">
                  <c:v>155,000</c:v>
                </c:pt>
                <c:pt idx="32">
                  <c:v>160,000</c:v>
                </c:pt>
                <c:pt idx="33">
                  <c:v>165,000</c:v>
                </c:pt>
                <c:pt idx="34">
                  <c:v>170,000</c:v>
                </c:pt>
                <c:pt idx="35">
                  <c:v>175,000</c:v>
                </c:pt>
                <c:pt idx="36">
                  <c:v>180,000</c:v>
                </c:pt>
                <c:pt idx="37">
                  <c:v>185,000</c:v>
                </c:pt>
                <c:pt idx="38">
                  <c:v>190,000</c:v>
                </c:pt>
                <c:pt idx="39">
                  <c:v>195,000</c:v>
                </c:pt>
                <c:pt idx="40">
                  <c:v>200,000</c:v>
                </c:pt>
                <c:pt idx="41">
                  <c:v>205,000</c:v>
                </c:pt>
                <c:pt idx="42">
                  <c:v>210,000</c:v>
                </c:pt>
                <c:pt idx="43">
                  <c:v>215,000</c:v>
                </c:pt>
                <c:pt idx="44">
                  <c:v>220,000</c:v>
                </c:pt>
                <c:pt idx="45">
                  <c:v>225,000</c:v>
                </c:pt>
                <c:pt idx="46">
                  <c:v>230,000</c:v>
                </c:pt>
                <c:pt idx="47">
                  <c:v>235,000</c:v>
                </c:pt>
                <c:pt idx="48">
                  <c:v>240,000</c:v>
                </c:pt>
                <c:pt idx="49">
                  <c:v>245,000</c:v>
                </c:pt>
                <c:pt idx="50">
                  <c:v>250,000</c:v>
                </c:pt>
                <c:pt idx="51">
                  <c:v>255,000</c:v>
                </c:pt>
                <c:pt idx="52">
                  <c:v>260,000</c:v>
                </c:pt>
                <c:pt idx="53">
                  <c:v>265,000</c:v>
                </c:pt>
                <c:pt idx="54">
                  <c:v>270,000</c:v>
                </c:pt>
                <c:pt idx="55">
                  <c:v>275,000</c:v>
                </c:pt>
                <c:pt idx="56">
                  <c:v>280,000</c:v>
                </c:pt>
                <c:pt idx="57">
                  <c:v>285,000</c:v>
                </c:pt>
                <c:pt idx="58">
                  <c:v>290,000</c:v>
                </c:pt>
                <c:pt idx="59">
                  <c:v>295,000</c:v>
                </c:pt>
                <c:pt idx="60">
                  <c:v>300,000</c:v>
                </c:pt>
                <c:pt idx="61">
                  <c:v>305,000</c:v>
                </c:pt>
                <c:pt idx="62">
                  <c:v>310,000</c:v>
                </c:pt>
                <c:pt idx="63">
                  <c:v>315,000</c:v>
                </c:pt>
                <c:pt idx="64">
                  <c:v>320,000</c:v>
                </c:pt>
                <c:pt idx="65">
                  <c:v>325,000</c:v>
                </c:pt>
                <c:pt idx="66">
                  <c:v>330,000</c:v>
                </c:pt>
                <c:pt idx="67">
                  <c:v>335,000</c:v>
                </c:pt>
                <c:pt idx="68">
                  <c:v>340,000</c:v>
                </c:pt>
                <c:pt idx="69">
                  <c:v>345,000</c:v>
                </c:pt>
                <c:pt idx="70">
                  <c:v>350,000</c:v>
                </c:pt>
                <c:pt idx="71">
                  <c:v>354,481</c:v>
                </c:pt>
                <c:pt idx="72">
                  <c:v>355,000</c:v>
                </c:pt>
                <c:pt idx="73">
                  <c:v>355,194</c:v>
                </c:pt>
                <c:pt idx="74">
                  <c:v>360,000</c:v>
                </c:pt>
                <c:pt idx="75">
                  <c:v>365,000</c:v>
                </c:pt>
                <c:pt idx="76">
                  <c:v>370,000</c:v>
                </c:pt>
                <c:pt idx="77">
                  <c:v>375,000</c:v>
                </c:pt>
                <c:pt idx="78">
                  <c:v>380,000</c:v>
                </c:pt>
                <c:pt idx="79">
                  <c:v>385,000</c:v>
                </c:pt>
                <c:pt idx="80">
                  <c:v>390,000</c:v>
                </c:pt>
                <c:pt idx="81">
                  <c:v>395,000</c:v>
                </c:pt>
                <c:pt idx="82">
                  <c:v>400,000</c:v>
                </c:pt>
                <c:pt idx="83">
                  <c:v>405,000</c:v>
                </c:pt>
                <c:pt idx="84">
                  <c:v>410,000</c:v>
                </c:pt>
                <c:pt idx="85">
                  <c:v>415,000</c:v>
                </c:pt>
                <c:pt idx="86">
                  <c:v>420,000</c:v>
                </c:pt>
                <c:pt idx="87">
                  <c:v>425,000</c:v>
                </c:pt>
                <c:pt idx="88">
                  <c:v>430,000</c:v>
                </c:pt>
                <c:pt idx="89">
                  <c:v>435,000</c:v>
                </c:pt>
                <c:pt idx="90">
                  <c:v>440,000</c:v>
                </c:pt>
                <c:pt idx="91">
                  <c:v>445,000</c:v>
                </c:pt>
                <c:pt idx="92">
                  <c:v>450,000</c:v>
                </c:pt>
                <c:pt idx="93">
                  <c:v>455,000</c:v>
                </c:pt>
                <c:pt idx="94">
                  <c:v>460,000</c:v>
                </c:pt>
                <c:pt idx="95">
                  <c:v>465,000</c:v>
                </c:pt>
                <c:pt idx="96">
                  <c:v>470,000</c:v>
                </c:pt>
                <c:pt idx="97">
                  <c:v>475,000</c:v>
                </c:pt>
                <c:pt idx="98">
                  <c:v>480,000</c:v>
                </c:pt>
                <c:pt idx="99">
                  <c:v>485,000</c:v>
                </c:pt>
                <c:pt idx="100">
                  <c:v>490,000</c:v>
                </c:pt>
                <c:pt idx="101">
                  <c:v>495,000</c:v>
                </c:pt>
                <c:pt idx="102">
                  <c:v>500,000</c:v>
                </c:pt>
                <c:pt idx="103">
                  <c:v>505,000</c:v>
                </c:pt>
                <c:pt idx="104">
                  <c:v>510,000</c:v>
                </c:pt>
                <c:pt idx="105">
                  <c:v>515,000</c:v>
                </c:pt>
                <c:pt idx="106">
                  <c:v>520,000</c:v>
                </c:pt>
                <c:pt idx="107">
                  <c:v>525,000</c:v>
                </c:pt>
                <c:pt idx="108">
                  <c:v>530,000</c:v>
                </c:pt>
                <c:pt idx="109">
                  <c:v>535,000</c:v>
                </c:pt>
                <c:pt idx="110">
                  <c:v>540,000</c:v>
                </c:pt>
                <c:pt idx="111">
                  <c:v>545,000</c:v>
                </c:pt>
                <c:pt idx="112">
                  <c:v>550,000</c:v>
                </c:pt>
                <c:pt idx="113">
                  <c:v>555,000</c:v>
                </c:pt>
                <c:pt idx="114">
                  <c:v>560,000</c:v>
                </c:pt>
                <c:pt idx="115">
                  <c:v>565,000</c:v>
                </c:pt>
                <c:pt idx="116">
                  <c:v>570,000</c:v>
                </c:pt>
                <c:pt idx="117">
                  <c:v>575,000</c:v>
                </c:pt>
                <c:pt idx="118">
                  <c:v>580,000</c:v>
                </c:pt>
                <c:pt idx="119">
                  <c:v>585,000</c:v>
                </c:pt>
                <c:pt idx="120">
                  <c:v>590,000</c:v>
                </c:pt>
                <c:pt idx="121">
                  <c:v>595,000</c:v>
                </c:pt>
                <c:pt idx="122">
                  <c:v>600,000</c:v>
                </c:pt>
              </c:strCache>
            </c:strRef>
          </c:xVal>
          <c:yVal>
            <c:numRef>
              <c:f>Graf!$E$2:$E$124</c:f>
              <c:numCache>
                <c:formatCode>General</c:formatCode>
                <c:ptCount val="123"/>
                <c:pt idx="71">
                  <c:v>2.10764518342031</c:v>
                </c:pt>
              </c:numCache>
            </c:numRef>
          </c:yVal>
          <c:smooth val="1"/>
        </c:ser>
        <c:axId val="18704166"/>
        <c:axId val="53038634"/>
      </c:scatterChart>
      <c:valAx>
        <c:axId val="18704166"/>
        <c:scaling>
          <c:orientation val="minMax"/>
          <c:max val="600"/>
          <c:min val="0"/>
        </c:scaling>
        <c:delete val="0"/>
        <c:axPos val="b"/>
        <c:majorGridlines>
          <c:spPr>
            <a:ln w="0">
              <a:solidFill>
                <a:srgbClr val="6b8e6b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latin typeface="Arial"/>
                  </a:defRPr>
                </a:pPr>
                <a:r>
                  <a:rPr b="1" sz="1000" spc="-1" strike="noStrike">
                    <a:latin typeface="Arial"/>
                  </a:rPr>
                  <a:t>f [Hz]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[$-405]0" sourceLinked="0"/>
        <c:majorTickMark val="out"/>
        <c:minorTickMark val="none"/>
        <c:tickLblPos val="nextTo"/>
        <c:spPr>
          <a:ln w="0">
            <a:solidFill>
              <a:srgbClr val="333333"/>
            </a:solidFill>
          </a:ln>
        </c:spPr>
        <c:txPr>
          <a:bodyPr/>
          <a:lstStyle/>
          <a:p>
            <a:pPr>
              <a:defRPr b="0" sz="800" spc="-1" strike="noStrike">
                <a:latin typeface="Arial"/>
              </a:defRPr>
            </a:pPr>
          </a:p>
        </c:txPr>
        <c:crossAx val="53038634"/>
        <c:crosses val="autoZero"/>
        <c:crossBetween val="between"/>
        <c:majorUnit val="100"/>
      </c:valAx>
      <c:valAx>
        <c:axId val="53038634"/>
        <c:scaling>
          <c:orientation val="minMax"/>
          <c:max val="25"/>
          <c:min val="0"/>
        </c:scaling>
        <c:delete val="0"/>
        <c:axPos val="l"/>
        <c:majorGridlines>
          <c:spPr>
            <a:ln w="0">
              <a:solidFill>
                <a:srgbClr val="6b8e6b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latin typeface="Arial"/>
                  </a:defRPr>
                </a:pPr>
                <a:r>
                  <a:rPr b="1" sz="1000" spc="-1" strike="noStrike">
                    <a:latin typeface="Arial"/>
                  </a:rPr>
                  <a:t>P [W]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[$-405]0" sourceLinked="0"/>
        <c:majorTickMark val="out"/>
        <c:minorTickMark val="none"/>
        <c:tickLblPos val="nextTo"/>
        <c:spPr>
          <a:ln w="0">
            <a:solidFill>
              <a:srgbClr val="333333"/>
            </a:solidFill>
          </a:ln>
        </c:spPr>
        <c:txPr>
          <a:bodyPr/>
          <a:lstStyle/>
          <a:p>
            <a:pPr>
              <a:defRPr b="0" sz="800" spc="-1" strike="noStrike">
                <a:latin typeface="Arial"/>
              </a:defRPr>
            </a:pPr>
          </a:p>
        </c:txPr>
        <c:crossAx val="18704166"/>
        <c:crosses val="autoZero"/>
        <c:crossBetween val="between"/>
        <c:majorUnit val="5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solidFill>
          <a:srgbClr val="d9d9d9"/>
        </a:solidFill>
        <a:ln w="0">
          <a:solidFill>
            <a:srgbClr val="000000"/>
          </a:solidFill>
        </a:ln>
      </c:spPr>
      <c:txPr>
        <a:bodyPr/>
        <a:lstStyle/>
        <a:p>
          <a:pPr>
            <a:defRPr b="0" sz="900" spc="-1" strike="noStrike">
              <a:latin typeface="Arial"/>
            </a:defRPr>
          </a:pPr>
        </a:p>
      </c:txPr>
    </c:legend>
    <c:plotVisOnly val="0"/>
    <c:dispBlanksAs val="span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324000</xdr:colOff>
      <xdr:row>1</xdr:row>
      <xdr:rowOff>36000</xdr:rowOff>
    </xdr:from>
    <xdr:to>
      <xdr:col>3</xdr:col>
      <xdr:colOff>2520000</xdr:colOff>
      <xdr:row>32</xdr:row>
      <xdr:rowOff>108360</xdr:rowOff>
    </xdr:to>
    <xdr:graphicFrame>
      <xdr:nvGraphicFramePr>
        <xdr:cNvPr id="0" name=""/>
        <xdr:cNvGraphicFramePr/>
      </xdr:nvGraphicFramePr>
      <xdr:xfrm>
        <a:off x="324000" y="288000"/>
        <a:ext cx="6119640" cy="511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2.75"/>
    <col collapsed="false" customWidth="true" hidden="false" outlineLevel="0" max="2" min="2" style="0" width="13.27"/>
    <col collapsed="false" customWidth="true" hidden="false" outlineLevel="0" max="3" min="3" style="0" width="11.22"/>
    <col collapsed="false" customWidth="true" hidden="false" outlineLevel="0" max="4" min="4" style="0" width="45.91"/>
  </cols>
  <sheetData>
    <row r="1" customFormat="false" ht="19.8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8" hidden="false" customHeight="false" outlineLevel="0" collapsed="false">
      <c r="A2" s="2" t="s">
        <v>4</v>
      </c>
      <c r="B2" s="3" t="n">
        <v>35</v>
      </c>
      <c r="C2" s="4" t="s">
        <v>5</v>
      </c>
      <c r="D2" s="4" t="s">
        <v>6</v>
      </c>
    </row>
    <row r="3" customFormat="false" ht="12.8" hidden="false" customHeight="false" outlineLevel="0" collapsed="false">
      <c r="A3" s="2" t="s">
        <v>7</v>
      </c>
      <c r="B3" s="3" t="n">
        <v>0.036</v>
      </c>
      <c r="C3" s="4" t="s">
        <v>8</v>
      </c>
      <c r="D3" s="4" t="s">
        <v>9</v>
      </c>
    </row>
    <row r="4" customFormat="false" ht="12.8" hidden="false" customHeight="false" outlineLevel="0" collapsed="false">
      <c r="A4" s="2" t="s">
        <v>10</v>
      </c>
      <c r="B4" s="3" t="n">
        <v>32</v>
      </c>
      <c r="C4" s="4" t="s">
        <v>11</v>
      </c>
      <c r="D4" s="4" t="s">
        <v>12</v>
      </c>
    </row>
    <row r="5" customFormat="false" ht="12.8" hidden="false" customHeight="false" outlineLevel="0" collapsed="false">
      <c r="A5" s="2" t="s">
        <v>13</v>
      </c>
      <c r="B5" s="3" t="n">
        <v>0.041</v>
      </c>
      <c r="C5" s="4" t="s">
        <v>8</v>
      </c>
      <c r="D5" s="4" t="s">
        <v>14</v>
      </c>
    </row>
    <row r="6" customFormat="false" ht="12.8" hidden="false" customHeight="false" outlineLevel="0" collapsed="false">
      <c r="A6" s="2" t="s">
        <v>15</v>
      </c>
      <c r="B6" s="3" t="n">
        <v>24</v>
      </c>
      <c r="C6" s="4" t="s">
        <v>11</v>
      </c>
      <c r="D6" s="4" t="s">
        <v>16</v>
      </c>
    </row>
    <row r="7" customFormat="false" ht="12.8" hidden="false" customHeight="false" outlineLevel="0" collapsed="false">
      <c r="A7" s="2" t="s">
        <v>17</v>
      </c>
      <c r="B7" s="3" t="n">
        <v>2.1</v>
      </c>
      <c r="C7" s="4" t="s">
        <v>18</v>
      </c>
      <c r="D7" s="4" t="s">
        <v>19</v>
      </c>
    </row>
    <row r="8" customFormat="false" ht="12.8" hidden="false" customHeight="false" outlineLevel="0" collapsed="false">
      <c r="A8" s="2" t="s">
        <v>20</v>
      </c>
      <c r="B8" s="3" t="n">
        <v>5</v>
      </c>
      <c r="C8" s="4" t="s">
        <v>21</v>
      </c>
      <c r="D8" s="4" t="s">
        <v>22</v>
      </c>
    </row>
    <row r="9" customFormat="false" ht="12.8" hidden="false" customHeight="false" outlineLevel="0" collapsed="false">
      <c r="A9" s="2" t="s">
        <v>23</v>
      </c>
      <c r="B9" s="3" t="n">
        <v>600</v>
      </c>
      <c r="C9" s="4" t="s">
        <v>21</v>
      </c>
      <c r="D9" s="4" t="s">
        <v>24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8.88"/>
    <col collapsed="false" customWidth="true" hidden="false" outlineLevel="0" max="2" min="2" style="0" width="19.38"/>
    <col collapsed="false" customWidth="true" hidden="false" outlineLevel="0" max="3" min="3" style="0" width="11.22"/>
    <col collapsed="false" customWidth="true" hidden="false" outlineLevel="0" max="4" min="4" style="0" width="45.91"/>
  </cols>
  <sheetData>
    <row r="1" customFormat="false" ht="19.85" hidden="false" customHeight="true" outlineLevel="0" collapsed="false">
      <c r="A1" s="1" t="s">
        <v>0</v>
      </c>
      <c r="B1" s="1" t="s">
        <v>25</v>
      </c>
      <c r="C1" s="1" t="s">
        <v>2</v>
      </c>
      <c r="D1" s="1" t="s">
        <v>26</v>
      </c>
    </row>
    <row r="2" customFormat="false" ht="12.8" hidden="false" customHeight="false" outlineLevel="0" collapsed="false">
      <c r="A2" s="2" t="s">
        <v>27</v>
      </c>
      <c r="B2" s="3" t="n">
        <f aca="false">Data!B4+Data!B6</f>
        <v>56</v>
      </c>
      <c r="C2" s="4" t="s">
        <v>11</v>
      </c>
      <c r="D2" s="4" t="s">
        <v>28</v>
      </c>
    </row>
    <row r="3" customFormat="false" ht="12.8" hidden="false" customHeight="false" outlineLevel="0" collapsed="false">
      <c r="A3" s="2" t="s">
        <v>29</v>
      </c>
      <c r="B3" s="3" t="n">
        <f aca="false">Data!B3+Data!B5</f>
        <v>0.077</v>
      </c>
      <c r="C3" s="4" t="s">
        <v>8</v>
      </c>
      <c r="D3" s="4" t="s">
        <v>30</v>
      </c>
    </row>
    <row r="4" customFormat="false" ht="12.8" hidden="false" customHeight="false" outlineLevel="0" collapsed="false">
      <c r="A4" s="2" t="s">
        <v>31</v>
      </c>
      <c r="B4" s="3" t="n">
        <f aca="false">SQRT(Data!B7/B2)</f>
        <v>0.193649167310371</v>
      </c>
      <c r="C4" s="4" t="s">
        <v>32</v>
      </c>
      <c r="D4" s="4" t="s">
        <v>33</v>
      </c>
    </row>
    <row r="5" customFormat="false" ht="12.8" hidden="false" customHeight="false" outlineLevel="0" collapsed="false">
      <c r="A5" s="2" t="s">
        <v>34</v>
      </c>
      <c r="B5" s="3" t="n">
        <f aca="false">SQRT(Data!B2^2*B2/Data!B7-B2^2)/(2*PI()*B3)</f>
        <v>355.19433630955</v>
      </c>
      <c r="C5" s="4" t="s">
        <v>21</v>
      </c>
      <c r="D5" s="4" t="s">
        <v>35</v>
      </c>
    </row>
    <row r="6" customFormat="false" ht="12.8" hidden="false" customHeight="false" outlineLevel="0" collapsed="false">
      <c r="A6" s="2" t="s">
        <v>36</v>
      </c>
      <c r="B6" s="3" t="n">
        <f aca="false">ROUND(Data!B4+Data!B6,3)</f>
        <v>56</v>
      </c>
      <c r="C6" s="4" t="s">
        <v>11</v>
      </c>
      <c r="D6" s="4" t="s">
        <v>37</v>
      </c>
    </row>
    <row r="7" customFormat="false" ht="12.8" hidden="false" customHeight="false" outlineLevel="0" collapsed="false">
      <c r="A7" s="2" t="s">
        <v>38</v>
      </c>
      <c r="B7" s="3" t="n">
        <f aca="false">ROUND(ROUND((Data!B3+Data!B5)*1000,3)/1000,3)</f>
        <v>0.077</v>
      </c>
      <c r="C7" s="4" t="s">
        <v>8</v>
      </c>
      <c r="D7" s="4" t="s">
        <v>39</v>
      </c>
    </row>
    <row r="8" customFormat="false" ht="12.8" hidden="false" customHeight="false" outlineLevel="0" collapsed="false">
      <c r="A8" s="2" t="s">
        <v>40</v>
      </c>
      <c r="B8" s="3" t="n">
        <f aca="false">ROUND(SQRT(Data!B7/B6),3)</f>
        <v>0.194</v>
      </c>
      <c r="C8" s="4" t="s">
        <v>32</v>
      </c>
      <c r="D8" s="4" t="s">
        <v>41</v>
      </c>
    </row>
    <row r="9" customFormat="false" ht="12.8" hidden="false" customHeight="false" outlineLevel="0" collapsed="false">
      <c r="A9" s="2" t="s">
        <v>42</v>
      </c>
      <c r="B9" s="3" t="n">
        <f aca="false">ROUND(B8*B6,3)</f>
        <v>10.864</v>
      </c>
      <c r="C9" s="4" t="s">
        <v>5</v>
      </c>
      <c r="D9" s="4" t="s">
        <v>43</v>
      </c>
    </row>
    <row r="10" customFormat="false" ht="12.8" hidden="false" customHeight="false" outlineLevel="0" collapsed="false">
      <c r="A10" s="2" t="s">
        <v>44</v>
      </c>
      <c r="B10" s="3" t="n">
        <f aca="false">ROUND(SQRT(Data!B2^2-B9^2),3)</f>
        <v>33.271</v>
      </c>
      <c r="C10" s="4" t="s">
        <v>5</v>
      </c>
      <c r="D10" s="4" t="s">
        <v>45</v>
      </c>
    </row>
    <row r="11" customFormat="false" ht="12.8" hidden="false" customHeight="false" outlineLevel="0" collapsed="false">
      <c r="A11" s="2" t="s">
        <v>46</v>
      </c>
      <c r="B11" s="3" t="n">
        <f aca="false">ROUND(B10/B8,3)</f>
        <v>171.5</v>
      </c>
      <c r="C11" s="4" t="s">
        <v>11</v>
      </c>
      <c r="D11" s="4" t="s">
        <v>47</v>
      </c>
    </row>
    <row r="12" customFormat="false" ht="12.8" hidden="false" customHeight="false" outlineLevel="0" collapsed="false">
      <c r="A12" s="2" t="s">
        <v>48</v>
      </c>
      <c r="B12" s="3" t="n">
        <f aca="false">ROUND(B11/(2*PI()*B7),3)</f>
        <v>354.481</v>
      </c>
      <c r="C12" s="4" t="s">
        <v>21</v>
      </c>
      <c r="D12" s="4" t="s">
        <v>49</v>
      </c>
    </row>
    <row r="13" customFormat="false" ht="12.8" hidden="false" customHeight="false" outlineLevel="0" collapsed="false">
      <c r="A13" s="2" t="s">
        <v>50</v>
      </c>
      <c r="B13" s="3" t="n">
        <f aca="false">Data!B2^2*B6/(B6^2+(2*PI()*B12*B7)^2)</f>
        <v>2.10764518342031</v>
      </c>
      <c r="C13" s="4" t="s">
        <v>18</v>
      </c>
      <c r="D13" s="4" t="s">
        <v>51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2.75"/>
    <col collapsed="false" customWidth="true" hidden="false" outlineLevel="0" max="2" min="2" style="0" width="15.31"/>
    <col collapsed="false" customWidth="true" hidden="false" outlineLevel="0" max="3" min="3" style="0" width="27.55"/>
    <col collapsed="false" customWidth="true" hidden="false" outlineLevel="0" max="4" min="4" style="0" width="43.37"/>
    <col collapsed="false" customWidth="true" hidden="false" outlineLevel="0" max="5" min="5" style="0" width="45.91"/>
  </cols>
  <sheetData>
    <row r="1" customFormat="false" ht="19.85" hidden="false" customHeight="true" outlineLevel="0" collapsed="false">
      <c r="A1" s="1" t="s">
        <v>52</v>
      </c>
      <c r="B1" s="1" t="s">
        <v>53</v>
      </c>
      <c r="C1" s="1" t="s">
        <v>54</v>
      </c>
      <c r="D1" s="1" t="s">
        <v>55</v>
      </c>
      <c r="E1" s="1" t="s">
        <v>56</v>
      </c>
    </row>
    <row r="2" customFormat="false" ht="12.8" hidden="false" customHeight="false" outlineLevel="0" collapsed="false">
      <c r="A2" s="3" t="n">
        <v>0</v>
      </c>
      <c r="B2" s="5" t="n">
        <f aca="false">Data!B2^2*(Data!B4+Data!B6)/((Data!B4+Data!B6)^2+(2*PI()*A2*(Data!B3+Data!B5))^2)</f>
        <v>21.875</v>
      </c>
      <c r="C2" s="5" t="n">
        <f aca="false">Data!B7</f>
        <v>2.1</v>
      </c>
    </row>
    <row r="3" customFormat="false" ht="12.8" hidden="false" customHeight="false" outlineLevel="0" collapsed="false">
      <c r="A3" s="3" t="n">
        <v>5</v>
      </c>
      <c r="B3" s="5" t="n">
        <f aca="false">Data!B2^2*(Data!B4+Data!B6)/((Data!B4+Data!B6)^2+(2*PI()*A3*(Data!B3+Data!B5))^2)</f>
        <v>21.8342578843548</v>
      </c>
      <c r="C3" s="5" t="n">
        <f aca="false">Data!B7</f>
        <v>2.1</v>
      </c>
    </row>
    <row r="4" customFormat="false" ht="12.8" hidden="false" customHeight="false" outlineLevel="0" collapsed="false">
      <c r="A4" s="3" t="n">
        <v>10</v>
      </c>
      <c r="B4" s="5" t="n">
        <f aca="false">Data!B2^2*(Data!B4+Data!B6)/((Data!B4+Data!B6)^2+(2*PI()*A4*(Data!B3+Data!B5))^2)</f>
        <v>21.7129370624857</v>
      </c>
      <c r="C4" s="5" t="n">
        <f aca="false">Data!B7</f>
        <v>2.1</v>
      </c>
    </row>
    <row r="5" customFormat="false" ht="12.8" hidden="false" customHeight="false" outlineLevel="0" collapsed="false">
      <c r="A5" s="3" t="n">
        <v>15</v>
      </c>
      <c r="B5" s="5" t="n">
        <f aca="false">Data!B2^2*(Data!B4+Data!B6)/((Data!B4+Data!B6)^2+(2*PI()*A5*(Data!B3+Data!B5))^2)</f>
        <v>21.5137042562807</v>
      </c>
      <c r="C5" s="5" t="n">
        <f aca="false">Data!B7</f>
        <v>2.1</v>
      </c>
    </row>
    <row r="6" customFormat="false" ht="12.8" hidden="false" customHeight="false" outlineLevel="0" collapsed="false">
      <c r="A6" s="3" t="n">
        <v>20</v>
      </c>
      <c r="B6" s="5" t="n">
        <f aca="false">Data!B2^2*(Data!B4+Data!B6)/((Data!B4+Data!B6)^2+(2*PI()*A6*(Data!B3+Data!B5))^2)</f>
        <v>21.2408428828905</v>
      </c>
      <c r="C6" s="5" t="n">
        <f aca="false">Data!B7</f>
        <v>2.1</v>
      </c>
    </row>
    <row r="7" customFormat="false" ht="12.8" hidden="false" customHeight="false" outlineLevel="0" collapsed="false">
      <c r="A7" s="3" t="n">
        <v>25</v>
      </c>
      <c r="B7" s="5" t="n">
        <f aca="false">Data!B2^2*(Data!B4+Data!B6)/((Data!B4+Data!B6)^2+(2*PI()*A7*(Data!B3+Data!B5))^2)</f>
        <v>20.900028268411</v>
      </c>
      <c r="C7" s="5" t="n">
        <f aca="false">Data!B7</f>
        <v>2.1</v>
      </c>
    </row>
    <row r="8" customFormat="false" ht="12.8" hidden="false" customHeight="false" outlineLevel="0" collapsed="false">
      <c r="A8" s="3" t="n">
        <v>30</v>
      </c>
      <c r="B8" s="5" t="n">
        <f aca="false">Data!B2^2*(Data!B4+Data!B6)/((Data!B4+Data!B6)^2+(2*PI()*A8*(Data!B3+Data!B5))^2)</f>
        <v>20.4980439978583</v>
      </c>
      <c r="C8" s="5" t="n">
        <f aca="false">Data!B7</f>
        <v>2.1</v>
      </c>
    </row>
    <row r="9" customFormat="false" ht="12.8" hidden="false" customHeight="false" outlineLevel="0" collapsed="false">
      <c r="A9" s="3" t="n">
        <v>35</v>
      </c>
      <c r="B9" s="5" t="n">
        <f aca="false">Data!B2^2*(Data!B4+Data!B6)/((Data!B4+Data!B6)^2+(2*PI()*A9*(Data!B3+Data!B5))^2)</f>
        <v>20.0424647002489</v>
      </c>
      <c r="C9" s="5" t="n">
        <f aca="false">Data!B7</f>
        <v>2.1</v>
      </c>
    </row>
    <row r="10" customFormat="false" ht="12.8" hidden="false" customHeight="false" outlineLevel="0" collapsed="false">
      <c r="A10" s="3" t="n">
        <v>40</v>
      </c>
      <c r="B10" s="5" t="n">
        <f aca="false">Data!B2^2*(Data!B4+Data!B6)/((Data!B4+Data!B6)^2+(2*PI()*A10*(Data!B3+Data!B5))^2)</f>
        <v>19.5413310018465</v>
      </c>
      <c r="C10" s="5" t="n">
        <f aca="false">Data!B7</f>
        <v>2.1</v>
      </c>
    </row>
    <row r="11" customFormat="false" ht="12.8" hidden="false" customHeight="false" outlineLevel="0" collapsed="false">
      <c r="A11" s="3" t="n">
        <v>45</v>
      </c>
      <c r="B11" s="5" t="n">
        <f aca="false">Data!B2^2*(Data!B4+Data!B6)/((Data!B4+Data!B6)^2+(2*PI()*A11*(Data!B3+Data!B5))^2)</f>
        <v>19.0028397545568</v>
      </c>
      <c r="C11" s="5" t="n">
        <f aca="false">Data!B7</f>
        <v>2.1</v>
      </c>
    </row>
    <row r="12" customFormat="false" ht="12.8" hidden="false" customHeight="false" outlineLevel="0" collapsed="false">
      <c r="A12" s="3" t="n">
        <v>50</v>
      </c>
      <c r="B12" s="5" t="n">
        <f aca="false">Data!B2^2*(Data!B4+Data!B6)/((Data!B4+Data!B6)^2+(2*PI()*A12*(Data!B3+Data!B5))^2)</f>
        <v>18.4350678129724</v>
      </c>
      <c r="C12" s="5" t="n">
        <f aca="false">Data!B7</f>
        <v>2.1</v>
      </c>
    </row>
    <row r="13" customFormat="false" ht="12.8" hidden="false" customHeight="false" outlineLevel="0" collapsed="false">
      <c r="A13" s="3" t="n">
        <v>55</v>
      </c>
      <c r="B13" s="5" t="n">
        <f aca="false">Data!B2^2*(Data!B4+Data!B6)/((Data!B4+Data!B6)^2+(2*PI()*A13*(Data!B3+Data!B5))^2)</f>
        <v>17.8457416581136</v>
      </c>
      <c r="C13" s="5" t="n">
        <f aca="false">Data!B7</f>
        <v>2.1</v>
      </c>
    </row>
    <row r="14" customFormat="false" ht="12.8" hidden="false" customHeight="false" outlineLevel="0" collapsed="false">
      <c r="A14" s="3" t="n">
        <v>60</v>
      </c>
      <c r="B14" s="5" t="n">
        <f aca="false">Data!B2^2*(Data!B4+Data!B6)/((Data!B4+Data!B6)^2+(2*PI()*A14*(Data!B3+Data!B5))^2)</f>
        <v>17.2420590746044</v>
      </c>
      <c r="C14" s="5" t="n">
        <f aca="false">Data!B7</f>
        <v>2.1</v>
      </c>
    </row>
    <row r="15" customFormat="false" ht="12.8" hidden="false" customHeight="false" outlineLevel="0" collapsed="false">
      <c r="A15" s="3" t="n">
        <v>65</v>
      </c>
      <c r="B15" s="5" t="n">
        <f aca="false">Data!B2^2*(Data!B4+Data!B6)/((Data!B4+Data!B6)^2+(2*PI()*A15*(Data!B3+Data!B5))^2)</f>
        <v>16.6305636848586</v>
      </c>
      <c r="C15" s="5" t="n">
        <f aca="false">Data!B7</f>
        <v>2.1</v>
      </c>
    </row>
    <row r="16" customFormat="false" ht="12.8" hidden="false" customHeight="false" outlineLevel="0" collapsed="false">
      <c r="A16" s="3" t="n">
        <v>70</v>
      </c>
      <c r="B16" s="5" t="n">
        <f aca="false">Data!B2^2*(Data!B4+Data!B6)/((Data!B4+Data!B6)^2+(2*PI()*A16*(Data!B3+Data!B5))^2)</f>
        <v>16.0170689240042</v>
      </c>
      <c r="C16" s="5" t="n">
        <f aca="false">Data!B7</f>
        <v>2.1</v>
      </c>
    </row>
    <row r="17" customFormat="false" ht="12.8" hidden="false" customHeight="false" outlineLevel="0" collapsed="false">
      <c r="A17" s="3" t="n">
        <v>75</v>
      </c>
      <c r="B17" s="5" t="n">
        <f aca="false">Data!B2^2*(Data!B4+Data!B6)/((Data!B4+Data!B6)^2+(2*PI()*A17*(Data!B3+Data!B5))^2)</f>
        <v>15.4066251908341</v>
      </c>
      <c r="C17" s="5" t="n">
        <f aca="false">Data!B7</f>
        <v>2.1</v>
      </c>
    </row>
    <row r="18" customFormat="false" ht="12.8" hidden="false" customHeight="false" outlineLevel="0" collapsed="false">
      <c r="A18" s="3" t="n">
        <v>80</v>
      </c>
      <c r="B18" s="5" t="n">
        <f aca="false">Data!B2^2*(Data!B4+Data!B6)/((Data!B4+Data!B6)^2+(2*PI()*A18*(Data!B3+Data!B5))^2)</f>
        <v>14.8035223757701</v>
      </c>
      <c r="C18" s="5" t="n">
        <f aca="false">Data!B7</f>
        <v>2.1</v>
      </c>
    </row>
    <row r="19" customFormat="false" ht="12.8" hidden="false" customHeight="false" outlineLevel="0" collapsed="false">
      <c r="A19" s="3" t="n">
        <v>85</v>
      </c>
      <c r="B19" s="5" t="n">
        <f aca="false">Data!B2^2*(Data!B4+Data!B6)/((Data!B4+Data!B6)^2+(2*PI()*A19*(Data!B3+Data!B5))^2)</f>
        <v>14.2113195317307</v>
      </c>
      <c r="C19" s="5" t="n">
        <f aca="false">Data!B7</f>
        <v>2.1</v>
      </c>
    </row>
    <row r="20" customFormat="false" ht="12.8" hidden="false" customHeight="false" outlineLevel="0" collapsed="false">
      <c r="A20" s="3" t="n">
        <v>90</v>
      </c>
      <c r="B20" s="5" t="n">
        <f aca="false">Data!B2^2*(Data!B4+Data!B6)/((Data!B4+Data!B6)^2+(2*PI()*A20*(Data!B3+Data!B5))^2)</f>
        <v>13.6328938310843</v>
      </c>
      <c r="C20" s="5" t="n">
        <f aca="false">Data!B7</f>
        <v>2.1</v>
      </c>
    </row>
    <row r="21" customFormat="false" ht="12.8" hidden="false" customHeight="false" outlineLevel="0" collapsed="false">
      <c r="A21" s="3" t="n">
        <v>95</v>
      </c>
      <c r="B21" s="5" t="n">
        <f aca="false">Data!B2^2*(Data!B4+Data!B6)/((Data!B4+Data!B6)^2+(2*PI()*A21*(Data!B3+Data!B5))^2)</f>
        <v>13.0705018500774</v>
      </c>
      <c r="C21" s="5" t="n">
        <f aca="false">Data!B7</f>
        <v>2.1</v>
      </c>
    </row>
    <row r="22" customFormat="false" ht="12.8" hidden="false" customHeight="false" outlineLevel="0" collapsed="false">
      <c r="A22" s="3" t="n">
        <v>100</v>
      </c>
      <c r="B22" s="5" t="n">
        <f aca="false">Data!B2^2*(Data!B4+Data!B6)/((Data!B4+Data!B6)^2+(2*PI()*A22*(Data!B3+Data!B5))^2)</f>
        <v>12.525847387905</v>
      </c>
      <c r="C22" s="5" t="n">
        <f aca="false">Data!B7</f>
        <v>2.1</v>
      </c>
    </row>
    <row r="23" customFormat="false" ht="12.8" hidden="false" customHeight="false" outlineLevel="0" collapsed="false">
      <c r="A23" s="3" t="n">
        <v>105</v>
      </c>
      <c r="B23" s="5" t="n">
        <f aca="false">Data!B2^2*(Data!B4+Data!B6)/((Data!B4+Data!B6)^2+(2*PI()*A23*(Data!B3+Data!B5))^2)</f>
        <v>12.0001512658853</v>
      </c>
      <c r="C23" s="5" t="n">
        <f aca="false">Data!B7</f>
        <v>2.1</v>
      </c>
    </row>
    <row r="24" customFormat="false" ht="12.8" hidden="false" customHeight="false" outlineLevel="0" collapsed="false">
      <c r="A24" s="3" t="n">
        <v>110</v>
      </c>
      <c r="B24" s="5" t="n">
        <f aca="false">Data!B2^2*(Data!B4+Data!B6)/((Data!B4+Data!B6)^2+(2*PI()*A24*(Data!B3+Data!B5))^2)</f>
        <v>11.4942197295805</v>
      </c>
      <c r="C24" s="5" t="n">
        <f aca="false">Data!B7</f>
        <v>2.1</v>
      </c>
    </row>
    <row r="25" customFormat="false" ht="12.8" hidden="false" customHeight="false" outlineLevel="0" collapsed="false">
      <c r="A25" s="3" t="n">
        <v>115</v>
      </c>
      <c r="B25" s="5" t="n">
        <f aca="false">Data!B2^2*(Data!B4+Data!B6)/((Data!B4+Data!B6)^2+(2*PI()*A25*(Data!B3+Data!B5))^2)</f>
        <v>11.0085091142423</v>
      </c>
      <c r="C25" s="5" t="n">
        <f aca="false">Data!B7</f>
        <v>2.1</v>
      </c>
    </row>
    <row r="26" customFormat="false" ht="12.8" hidden="false" customHeight="false" outlineLevel="0" collapsed="false">
      <c r="A26" s="3" t="n">
        <v>120</v>
      </c>
      <c r="B26" s="5" t="n">
        <f aca="false">Data!B2^2*(Data!B4+Data!B6)/((Data!B4+Data!B6)^2+(2*PI()*A26*(Data!B3+Data!B5))^2)</f>
        <v>10.5431852954793</v>
      </c>
      <c r="C26" s="5" t="n">
        <f aca="false">Data!B7</f>
        <v>2.1</v>
      </c>
    </row>
    <row r="27" customFormat="false" ht="12.8" hidden="false" customHeight="false" outlineLevel="0" collapsed="false">
      <c r="A27" s="3" t="n">
        <v>125</v>
      </c>
      <c r="B27" s="5" t="n">
        <f aca="false">Data!B2^2*(Data!B4+Data!B6)/((Data!B4+Data!B6)^2+(2*PI()*A27*(Data!B3+Data!B5))^2)</f>
        <v>10.0981771263969</v>
      </c>
      <c r="C27" s="5" t="n">
        <f aca="false">Data!B7</f>
        <v>2.1</v>
      </c>
    </row>
    <row r="28" customFormat="false" ht="12.8" hidden="false" customHeight="false" outlineLevel="0" collapsed="false">
      <c r="A28" s="3" t="n">
        <v>130</v>
      </c>
      <c r="B28" s="5" t="n">
        <f aca="false">Data!B2^2*(Data!B4+Data!B6)/((Data!B4+Data!B6)^2+(2*PI()*A28*(Data!B3+Data!B5))^2)</f>
        <v>9.67322357232825</v>
      </c>
      <c r="C28" s="5" t="n">
        <f aca="false">Data!B7</f>
        <v>2.1</v>
      </c>
    </row>
    <row r="29" customFormat="false" ht="12.8" hidden="false" customHeight="false" outlineLevel="0" collapsed="false">
      <c r="A29" s="3" t="n">
        <v>135</v>
      </c>
      <c r="B29" s="5" t="n">
        <f aca="false">Data!B2^2*(Data!B4+Data!B6)/((Data!B4+Data!B6)^2+(2*PI()*A29*(Data!B3+Data!B5))^2)</f>
        <v>9.26791461733854</v>
      </c>
      <c r="C29" s="5" t="n">
        <f aca="false">Data!B7</f>
        <v>2.1</v>
      </c>
    </row>
    <row r="30" customFormat="false" ht="12.8" hidden="false" customHeight="false" outlineLevel="0" collapsed="false">
      <c r="A30" s="3" t="n">
        <v>140</v>
      </c>
      <c r="B30" s="5" t="n">
        <f aca="false">Data!B2^2*(Data!B4+Data!B6)/((Data!B4+Data!B6)^2+(2*PI()*A30*(Data!B3+Data!B5))^2)</f>
        <v>8.88172625934764</v>
      </c>
      <c r="C30" s="5" t="n">
        <f aca="false">Data!B7</f>
        <v>2.1</v>
      </c>
    </row>
    <row r="31" customFormat="false" ht="12.8" hidden="false" customHeight="false" outlineLevel="0" collapsed="false">
      <c r="A31" s="3" t="n">
        <v>145</v>
      </c>
      <c r="B31" s="5" t="n">
        <f aca="false">Data!B2^2*(Data!B4+Data!B6)/((Data!B4+Data!B6)^2+(2*PI()*A31*(Data!B3+Data!B5))^2)</f>
        <v>8.51405005909191</v>
      </c>
      <c r="C31" s="5" t="n">
        <f aca="false">Data!B7</f>
        <v>2.1</v>
      </c>
    </row>
    <row r="32" customFormat="false" ht="12.8" hidden="false" customHeight="false" outlineLevel="0" collapsed="false">
      <c r="A32" s="3" t="n">
        <v>150</v>
      </c>
      <c r="B32" s="5" t="n">
        <f aca="false">Data!B2^2*(Data!B4+Data!B6)/((Data!B4+Data!B6)^2+(2*PI()*A32*(Data!B3+Data!B5))^2)</f>
        <v>8.16421778576326</v>
      </c>
      <c r="C32" s="5" t="n">
        <f aca="false">Data!B7</f>
        <v>2.1</v>
      </c>
    </row>
    <row r="33" customFormat="false" ht="12.8" hidden="false" customHeight="false" outlineLevel="0" collapsed="false">
      <c r="A33" s="3" t="n">
        <v>155</v>
      </c>
      <c r="B33" s="5" t="n">
        <f aca="false">Data!B2^2*(Data!B4+Data!B6)/((Data!B4+Data!B6)^2+(2*PI()*A33*(Data!B3+Data!B5))^2)</f>
        <v>7.83152172893916</v>
      </c>
      <c r="C33" s="5" t="n">
        <f aca="false">Data!B7</f>
        <v>2.1</v>
      </c>
    </row>
    <row r="34" customFormat="false" ht="12.8" hidden="false" customHeight="false" outlineLevel="0" collapsed="false">
      <c r="A34" s="3" t="n">
        <v>160</v>
      </c>
      <c r="B34" s="5" t="n">
        <f aca="false">Data!B2^2*(Data!B4+Data!B6)/((Data!B4+Data!B6)^2+(2*PI()*A34*(Data!B3+Data!B5))^2)</f>
        <v>7.51523123840454</v>
      </c>
      <c r="C34" s="5" t="n">
        <f aca="false">Data!B7</f>
        <v>2.1</v>
      </c>
    </row>
    <row r="35" customFormat="false" ht="12.8" hidden="false" customHeight="false" outlineLevel="0" collapsed="false">
      <c r="A35" s="3" t="n">
        <v>165</v>
      </c>
      <c r="B35" s="5" t="n">
        <f aca="false">Data!B2^2*(Data!B4+Data!B6)/((Data!B4+Data!B6)^2+(2*PI()*A35*(Data!B3+Data!B5))^2)</f>
        <v>7.21460602309868</v>
      </c>
      <c r="C35" s="5" t="n">
        <f aca="false">Data!B7</f>
        <v>2.1</v>
      </c>
    </row>
    <row r="36" customFormat="false" ht="12.8" hidden="false" customHeight="false" outlineLevel="0" collapsed="false">
      <c r="A36" s="3" t="n">
        <v>170</v>
      </c>
      <c r="B36" s="5" t="n">
        <f aca="false">Data!B2^2*(Data!B4+Data!B6)/((Data!B4+Data!B6)^2+(2*PI()*A36*(Data!B3+Data!B5))^2)</f>
        <v>6.92890669697678</v>
      </c>
      <c r="C36" s="5" t="n">
        <f aca="false">Data!B7</f>
        <v>2.1</v>
      </c>
    </row>
    <row r="37" customFormat="false" ht="12.8" hidden="false" customHeight="false" outlineLevel="0" collapsed="false">
      <c r="A37" s="3" t="n">
        <v>175</v>
      </c>
      <c r="B37" s="5" t="n">
        <f aca="false">Data!B2^2*(Data!B4+Data!B6)/((Data!B4+Data!B6)^2+(2*PI()*A37*(Data!B3+Data!B5))^2)</f>
        <v>6.65740300973169</v>
      </c>
      <c r="C37" s="5" t="n">
        <f aca="false">Data!B7</f>
        <v>2.1</v>
      </c>
    </row>
    <row r="38" customFormat="false" ht="12.8" hidden="false" customHeight="false" outlineLevel="0" collapsed="false">
      <c r="A38" s="3" t="n">
        <v>180</v>
      </c>
      <c r="B38" s="5" t="n">
        <f aca="false">Data!B2^2*(Data!B4+Data!B6)/((Data!B4+Data!B6)^2+(2*PI()*A38*(Data!B3+Data!B5))^2)</f>
        <v>6.39938014869237</v>
      </c>
      <c r="C38" s="5" t="n">
        <f aca="false">Data!B7</f>
        <v>2.1</v>
      </c>
    </row>
    <row r="39" customFormat="false" ht="12.8" hidden="false" customHeight="false" outlineLevel="0" collapsed="false">
      <c r="A39" s="3" t="n">
        <v>185</v>
      </c>
      <c r="B39" s="5" t="n">
        <f aca="false">Data!B2^2*(Data!B4+Data!B6)/((Data!B4+Data!B6)^2+(2*PI()*A39*(Data!B3+Data!B5))^2)</f>
        <v>6.1541434478398</v>
      </c>
      <c r="C39" s="5" t="n">
        <f aca="false">Data!B7</f>
        <v>2.1</v>
      </c>
    </row>
    <row r="40" customFormat="false" ht="12.8" hidden="false" customHeight="false" outlineLevel="0" collapsed="false">
      <c r="A40" s="3" t="n">
        <v>190</v>
      </c>
      <c r="B40" s="5" t="n">
        <f aca="false">Data!B2^2*(Data!B4+Data!B6)/((Data!B4+Data!B6)^2+(2*PI()*A40*(Data!B3+Data!B5))^2)</f>
        <v>5.92102179263159</v>
      </c>
      <c r="C40" s="5" t="n">
        <f aca="false">Data!B7</f>
        <v>2.1</v>
      </c>
    </row>
    <row r="41" customFormat="false" ht="12.8" hidden="false" customHeight="false" outlineLevel="0" collapsed="false">
      <c r="A41" s="3" t="n">
        <v>195</v>
      </c>
      <c r="B41" s="5" t="n">
        <f aca="false">Data!B2^2*(Data!B4+Data!B6)/((Data!B4+Data!B6)^2+(2*PI()*A41*(Data!B3+Data!B5))^2)</f>
        <v>5.69936996623653</v>
      </c>
      <c r="C41" s="5" t="n">
        <f aca="false">Data!B7</f>
        <v>2.1</v>
      </c>
    </row>
    <row r="42" customFormat="false" ht="12.8" hidden="false" customHeight="false" outlineLevel="0" collapsed="false">
      <c r="A42" s="3" t="n">
        <v>200</v>
      </c>
      <c r="B42" s="5" t="n">
        <f aca="false">Data!B2^2*(Data!B4+Data!B6)/((Data!B4+Data!B6)^2+(2*PI()*A42*(Data!B3+Data!B5))^2)</f>
        <v>5.48857014430227</v>
      </c>
      <c r="C42" s="5" t="n">
        <f aca="false">Data!B7</f>
        <v>2.1</v>
      </c>
    </row>
    <row r="43" customFormat="false" ht="12.8" hidden="false" customHeight="false" outlineLevel="0" collapsed="false">
      <c r="A43" s="3" t="n">
        <v>205</v>
      </c>
      <c r="B43" s="5" t="n">
        <f aca="false">Data!B2^2*(Data!B4+Data!B6)/((Data!B4+Data!B6)^2+(2*PI()*A43*(Data!B3+Data!B5))^2)</f>
        <v>5.28803271157838</v>
      </c>
      <c r="C43" s="5" t="n">
        <f aca="false">Data!B7</f>
        <v>2.1</v>
      </c>
    </row>
    <row r="44" customFormat="false" ht="12.8" hidden="false" customHeight="false" outlineLevel="0" collapsed="false">
      <c r="A44" s="3" t="n">
        <v>210</v>
      </c>
      <c r="B44" s="5" t="n">
        <f aca="false">Data!B2^2*(Data!B4+Data!B6)/((Data!B4+Data!B6)^2+(2*PI()*A44*(Data!B3+Data!B5))^2)</f>
        <v>5.09719654440942</v>
      </c>
      <c r="C44" s="5" t="n">
        <f aca="false">Data!B7</f>
        <v>2.1</v>
      </c>
    </row>
    <row r="45" customFormat="false" ht="12.8" hidden="false" customHeight="false" outlineLevel="0" collapsed="false">
      <c r="A45" s="3" t="n">
        <v>215</v>
      </c>
      <c r="B45" s="5" t="n">
        <f aca="false">Data!B2^2*(Data!B4+Data!B6)/((Data!B4+Data!B6)^2+(2*PI()*A45*(Data!B3+Data!B5))^2)</f>
        <v>4.9155288779742</v>
      </c>
      <c r="C45" s="5" t="n">
        <f aca="false">Data!B7</f>
        <v>2.1</v>
      </c>
    </row>
    <row r="46" customFormat="false" ht="12.8" hidden="false" customHeight="false" outlineLevel="0" collapsed="false">
      <c r="A46" s="3" t="n">
        <v>220</v>
      </c>
      <c r="B46" s="5" t="n">
        <f aca="false">Data!B2^2*(Data!B4+Data!B6)/((Data!B4+Data!B6)^2+(2*PI()*A46*(Data!B3+Data!B5))^2)</f>
        <v>4.74252485577664</v>
      </c>
      <c r="C46" s="5" t="n">
        <f aca="false">Data!B7</f>
        <v>2.1</v>
      </c>
    </row>
    <row r="47" customFormat="false" ht="12.8" hidden="false" customHeight="false" outlineLevel="0" collapsed="false">
      <c r="A47" s="3" t="n">
        <v>225</v>
      </c>
      <c r="B47" s="5" t="n">
        <f aca="false">Data!B2^2*(Data!B4+Data!B6)/((Data!B4+Data!B6)^2+(2*PI()*A47*(Data!B3+Data!B5))^2)</f>
        <v>4.57770684086493</v>
      </c>
      <c r="C47" s="5" t="n">
        <f aca="false">Data!B7</f>
        <v>2.1</v>
      </c>
    </row>
    <row r="48" customFormat="false" ht="12.8" hidden="false" customHeight="false" outlineLevel="0" collapsed="false">
      <c r="A48" s="3" t="n">
        <v>230</v>
      </c>
      <c r="B48" s="5" t="n">
        <f aca="false">Data!B2^2*(Data!B4+Data!B6)/((Data!B4+Data!B6)^2+(2*PI()*A48*(Data!B3+Data!B5))^2)</f>
        <v>4.42062355314784</v>
      </c>
      <c r="C48" s="5" t="n">
        <f aca="false">Data!B7</f>
        <v>2.1</v>
      </c>
    </row>
    <row r="49" customFormat="false" ht="12.8" hidden="false" customHeight="false" outlineLevel="0" collapsed="false">
      <c r="A49" s="3" t="n">
        <v>235</v>
      </c>
      <c r="B49" s="5" t="n">
        <f aca="false">Data!B2^2*(Data!B4+Data!B6)/((Data!B4+Data!B6)^2+(2*PI()*A49*(Data!B3+Data!B5))^2)</f>
        <v>4.27084908459103</v>
      </c>
      <c r="C49" s="5" t="n">
        <f aca="false">Data!B7</f>
        <v>2.1</v>
      </c>
    </row>
    <row r="50" customFormat="false" ht="12.8" hidden="false" customHeight="false" outlineLevel="0" collapsed="false">
      <c r="A50" s="3" t="n">
        <v>240</v>
      </c>
      <c r="B50" s="5" t="n">
        <f aca="false">Data!B2^2*(Data!B4+Data!B6)/((Data!B4+Data!B6)^2+(2*PI()*A50*(Data!B3+Data!B5))^2)</f>
        <v>4.1279818336476</v>
      </c>
      <c r="C50" s="5" t="n">
        <f aca="false">Data!B7</f>
        <v>2.1</v>
      </c>
    </row>
    <row r="51" customFormat="false" ht="12.8" hidden="false" customHeight="false" outlineLevel="0" collapsed="false">
      <c r="A51" s="3" t="n">
        <v>245</v>
      </c>
      <c r="B51" s="5" t="n">
        <f aca="false">Data!B2^2*(Data!B4+Data!B6)/((Data!B4+Data!B6)^2+(2*PI()*A51*(Data!B3+Data!B5))^2)</f>
        <v>3.99164339167904</v>
      </c>
      <c r="C51" s="5" t="n">
        <f aca="false">Data!B7</f>
        <v>2.1</v>
      </c>
    </row>
    <row r="52" customFormat="false" ht="12.8" hidden="false" customHeight="false" outlineLevel="0" collapsed="false">
      <c r="A52" s="3" t="n">
        <v>250</v>
      </c>
      <c r="B52" s="5" t="n">
        <f aca="false">Data!B2^2*(Data!B4+Data!B6)/((Data!B4+Data!B6)^2+(2*PI()*A52*(Data!B3+Data!B5))^2)</f>
        <v>3.86147740706692</v>
      </c>
      <c r="C52" s="5" t="n">
        <f aca="false">Data!B7</f>
        <v>2.1</v>
      </c>
    </row>
    <row r="53" customFormat="false" ht="12.8" hidden="false" customHeight="false" outlineLevel="0" collapsed="false">
      <c r="A53" s="3" t="n">
        <v>255</v>
      </c>
      <c r="B53" s="5" t="n">
        <f aca="false">Data!B2^2*(Data!B4+Data!B6)/((Data!B4+Data!B6)^2+(2*PI()*A53*(Data!B3+Data!B5))^2)</f>
        <v>3.73714844695325</v>
      </c>
      <c r="C53" s="5" t="n">
        <f aca="false">Data!B7</f>
        <v>2.1</v>
      </c>
    </row>
    <row r="54" customFormat="false" ht="12.8" hidden="false" customHeight="false" outlineLevel="0" collapsed="false">
      <c r="A54" s="3" t="n">
        <v>260</v>
      </c>
      <c r="B54" s="5" t="n">
        <f aca="false">Data!B2^2*(Data!B4+Data!B6)/((Data!B4+Data!B6)^2+(2*PI()*A54*(Data!B3+Data!B5))^2)</f>
        <v>3.61834087186197</v>
      </c>
      <c r="C54" s="5" t="n">
        <f aca="false">Data!B7</f>
        <v>2.1</v>
      </c>
    </row>
    <row r="55" customFormat="false" ht="12.8" hidden="false" customHeight="false" outlineLevel="0" collapsed="false">
      <c r="A55" s="3" t="n">
        <v>265</v>
      </c>
      <c r="B55" s="5" t="n">
        <f aca="false">Data!B2^2*(Data!B4+Data!B6)/((Data!B4+Data!B6)^2+(2*PI()*A55*(Data!B3+Data!B5))^2)</f>
        <v>3.50475773466352</v>
      </c>
      <c r="C55" s="5" t="n">
        <f aca="false">Data!B7</f>
        <v>2.1</v>
      </c>
    </row>
    <row r="56" customFormat="false" ht="12.8" hidden="false" customHeight="false" outlineLevel="0" collapsed="false">
      <c r="A56" s="3" t="n">
        <v>270</v>
      </c>
      <c r="B56" s="5" t="n">
        <f aca="false">Data!B2^2*(Data!B4+Data!B6)/((Data!B4+Data!B6)^2+(2*PI()*A56*(Data!B3+Data!B5))^2)</f>
        <v>3.39611971229331</v>
      </c>
      <c r="C56" s="5" t="n">
        <f aca="false">Data!B7</f>
        <v>2.1</v>
      </c>
    </row>
    <row r="57" customFormat="false" ht="12.8" hidden="false" customHeight="false" outlineLevel="0" collapsed="false">
      <c r="A57" s="3" t="n">
        <v>275</v>
      </c>
      <c r="B57" s="5" t="n">
        <f aca="false">Data!B2^2*(Data!B4+Data!B6)/((Data!B4+Data!B6)^2+(2*PI()*A57*(Data!B3+Data!B5))^2)</f>
        <v>3.29216407619208</v>
      </c>
      <c r="C57" s="5" t="n">
        <f aca="false">Data!B7</f>
        <v>2.1</v>
      </c>
    </row>
    <row r="58" customFormat="false" ht="12.8" hidden="false" customHeight="false" outlineLevel="0" collapsed="false">
      <c r="A58" s="3" t="n">
        <v>280</v>
      </c>
      <c r="B58" s="5" t="n">
        <f aca="false">Data!B2^2*(Data!B4+Data!B6)/((Data!B4+Data!B6)^2+(2*PI()*A58*(Data!B3+Data!B5))^2)</f>
        <v>3.19264370549376</v>
      </c>
      <c r="C58" s="5" t="n">
        <f aca="false">Data!B7</f>
        <v>2.1</v>
      </c>
    </row>
    <row r="59" customFormat="false" ht="12.8" hidden="false" customHeight="false" outlineLevel="0" collapsed="false">
      <c r="A59" s="3" t="n">
        <v>285</v>
      </c>
      <c r="B59" s="5" t="n">
        <f aca="false">Data!B2^2*(Data!B4+Data!B6)/((Data!B4+Data!B6)^2+(2*PI()*A59*(Data!B3+Data!B5))^2)</f>
        <v>3.09732614545168</v>
      </c>
      <c r="C59" s="5" t="n">
        <f aca="false">Data!B7</f>
        <v>2.1</v>
      </c>
    </row>
    <row r="60" customFormat="false" ht="12.8" hidden="false" customHeight="false" outlineLevel="0" collapsed="false">
      <c r="A60" s="3" t="n">
        <v>290</v>
      </c>
      <c r="B60" s="5" t="n">
        <f aca="false">Data!B2^2*(Data!B4+Data!B6)/((Data!B4+Data!B6)^2+(2*PI()*A60*(Data!B3+Data!B5))^2)</f>
        <v>3.00599271239278</v>
      </c>
      <c r="C60" s="5" t="n">
        <f aca="false">Data!B7</f>
        <v>2.1</v>
      </c>
    </row>
    <row r="61" customFormat="false" ht="12.8" hidden="false" customHeight="false" outlineLevel="0" collapsed="false">
      <c r="A61" s="3" t="n">
        <v>295</v>
      </c>
      <c r="B61" s="5" t="n">
        <f aca="false">Data!B2^2*(Data!B4+Data!B6)/((Data!B4+Data!B6)^2+(2*PI()*A61*(Data!B3+Data!B5))^2)</f>
        <v>2.91843764555822</v>
      </c>
      <c r="C61" s="5" t="n">
        <f aca="false">Data!B7</f>
        <v>2.1</v>
      </c>
    </row>
    <row r="62" customFormat="false" ht="12.8" hidden="false" customHeight="false" outlineLevel="0" collapsed="false">
      <c r="A62" s="3" t="n">
        <v>300</v>
      </c>
      <c r="B62" s="5" t="n">
        <f aca="false">Data!B2^2*(Data!B4+Data!B6)/((Data!B4+Data!B6)^2+(2*PI()*A62*(Data!B3+Data!B5))^2)</f>
        <v>2.83446730547626</v>
      </c>
      <c r="C62" s="5" t="n">
        <f aca="false">Data!B7</f>
        <v>2.1</v>
      </c>
    </row>
    <row r="63" customFormat="false" ht="12.8" hidden="false" customHeight="false" outlineLevel="0" collapsed="false">
      <c r="A63" s="3" t="n">
        <v>305</v>
      </c>
      <c r="B63" s="5" t="n">
        <f aca="false">Data!B2^2*(Data!B4+Data!B6)/((Data!B4+Data!B6)^2+(2*PI()*A63*(Data!B3+Data!B5))^2)</f>
        <v>2.75389941797713</v>
      </c>
      <c r="C63" s="5" t="n">
        <f aca="false">Data!B7</f>
        <v>2.1</v>
      </c>
    </row>
    <row r="64" customFormat="false" ht="12.8" hidden="false" customHeight="false" outlineLevel="0" collapsed="false">
      <c r="A64" s="3" t="n">
        <v>310</v>
      </c>
      <c r="B64" s="5" t="n">
        <f aca="false">Data!B2^2*(Data!B4+Data!B6)/((Data!B4+Data!B6)^2+(2*PI()*A64*(Data!B3+Data!B5))^2)</f>
        <v>2.67656236256457</v>
      </c>
      <c r="C64" s="5" t="n">
        <f aca="false">Data!B7</f>
        <v>2.1</v>
      </c>
    </row>
    <row r="65" customFormat="false" ht="12.8" hidden="false" customHeight="false" outlineLevel="0" collapsed="false">
      <c r="A65" s="3" t="n">
        <v>315</v>
      </c>
      <c r="B65" s="5" t="n">
        <f aca="false">Data!B2^2*(Data!B4+Data!B6)/((Data!B4+Data!B6)^2+(2*PI()*A65*(Data!B3+Data!B5))^2)</f>
        <v>2.60229450357667</v>
      </c>
      <c r="C65" s="5" t="n">
        <f aca="false">Data!B7</f>
        <v>2.1</v>
      </c>
    </row>
    <row r="66" customFormat="false" ht="12.8" hidden="false" customHeight="false" outlineLevel="0" collapsed="false">
      <c r="A66" s="3" t="n">
        <v>320</v>
      </c>
      <c r="B66" s="5" t="n">
        <f aca="false">Data!B2^2*(Data!B4+Data!B6)/((Data!B4+Data!B6)^2+(2*PI()*A66*(Data!B3+Data!B5))^2)</f>
        <v>2.53094356237631</v>
      </c>
      <c r="C66" s="5" t="n">
        <f aca="false">Data!B7</f>
        <v>2.1</v>
      </c>
    </row>
    <row r="67" customFormat="false" ht="12.8" hidden="false" customHeight="false" outlineLevel="0" collapsed="false">
      <c r="A67" s="3" t="n">
        <v>325</v>
      </c>
      <c r="B67" s="5" t="n">
        <f aca="false">Data!B2^2*(Data!B4+Data!B6)/((Data!B4+Data!B6)^2+(2*PI()*A67*(Data!B3+Data!B5))^2)</f>
        <v>2.46236602868939</v>
      </c>
      <c r="C67" s="5" t="n">
        <f aca="false">Data!B7</f>
        <v>2.1</v>
      </c>
    </row>
    <row r="68" customFormat="false" ht="12.8" hidden="false" customHeight="false" outlineLevel="0" collapsed="false">
      <c r="A68" s="3" t="n">
        <v>330</v>
      </c>
      <c r="B68" s="5" t="n">
        <f aca="false">Data!B2^2*(Data!B4+Data!B6)/((Data!B4+Data!B6)^2+(2*PI()*A68*(Data!B3+Data!B5))^2)</f>
        <v>2.39642660914273</v>
      </c>
      <c r="C68" s="5" t="n">
        <f aca="false">Data!B7</f>
        <v>2.1</v>
      </c>
    </row>
    <row r="69" customFormat="false" ht="12.8" hidden="false" customHeight="false" outlineLevel="0" collapsed="false">
      <c r="A69" s="3" t="n">
        <v>335</v>
      </c>
      <c r="B69" s="5" t="n">
        <f aca="false">Data!B2^2*(Data!B4+Data!B6)/((Data!B4+Data!B6)^2+(2*PI()*A69*(Data!B3+Data!B5))^2)</f>
        <v>2.33299771102961</v>
      </c>
      <c r="C69" s="5" t="n">
        <f aca="false">Data!B7</f>
        <v>2.1</v>
      </c>
    </row>
    <row r="70" customFormat="false" ht="12.8" hidden="false" customHeight="false" outlineLevel="0" collapsed="false">
      <c r="A70" s="3" t="n">
        <v>340</v>
      </c>
      <c r="B70" s="5" t="n">
        <f aca="false">Data!B2^2*(Data!B4+Data!B6)/((Data!B4+Data!B6)^2+(2*PI()*A70*(Data!B3+Data!B5))^2)</f>
        <v>2.27195895933998</v>
      </c>
      <c r="C70" s="5" t="n">
        <f aca="false">Data!B7</f>
        <v>2.1</v>
      </c>
    </row>
    <row r="71" customFormat="false" ht="12.8" hidden="false" customHeight="false" outlineLevel="0" collapsed="false">
      <c r="A71" s="3" t="n">
        <v>345</v>
      </c>
      <c r="B71" s="5" t="n">
        <f aca="false">Data!B2^2*(Data!B4+Data!B6)/((Data!B4+Data!B6)^2+(2*PI()*A71*(Data!B3+Data!B5))^2)</f>
        <v>2.21319674512615</v>
      </c>
      <c r="C71" s="5" t="n">
        <f aca="false">Data!B7</f>
        <v>2.1</v>
      </c>
    </row>
    <row r="72" customFormat="false" ht="12.8" hidden="false" customHeight="false" outlineLevel="0" collapsed="false">
      <c r="A72" s="3" t="n">
        <v>350</v>
      </c>
      <c r="B72" s="5" t="n">
        <f aca="false">Data!B2^2*(Data!B4+Data!B6)/((Data!B4+Data!B6)^2+(2*PI()*A72*(Data!B3+Data!B5))^2)</f>
        <v>2.15660380332659</v>
      </c>
      <c r="C72" s="5" t="n">
        <f aca="false">Data!B7</f>
        <v>2.1</v>
      </c>
    </row>
    <row r="73" customFormat="false" ht="12.8" hidden="false" customHeight="false" outlineLevel="0" collapsed="false">
      <c r="A73" s="3" t="n">
        <v>354.481</v>
      </c>
      <c r="B73" s="5" t="n">
        <f aca="false">Data!B2^2*(Data!B4+Data!B6)/((Data!B4+Data!B6)^2+(2*PI()*A73*(Data!B3+Data!B5))^2)</f>
        <v>2.10764518342031</v>
      </c>
      <c r="C73" s="5" t="n">
        <f aca="false">Data!B7</f>
        <v>2.1</v>
      </c>
      <c r="E73" s="5" t="n">
        <f aca="false">B73</f>
        <v>2.10764518342031</v>
      </c>
    </row>
    <row r="74" customFormat="false" ht="12.8" hidden="false" customHeight="false" outlineLevel="0" collapsed="false">
      <c r="A74" s="3" t="n">
        <v>355</v>
      </c>
      <c r="B74" s="5" t="n">
        <f aca="false">Data!B2^2*(Data!B4+Data!B6)/((Data!B4+Data!B6)^2+(2*PI()*A74*(Data!B3+Data!B5))^2)</f>
        <v>2.10207881823579</v>
      </c>
      <c r="C74" s="5" t="n">
        <f aca="false">Data!B7</f>
        <v>2.1</v>
      </c>
    </row>
    <row r="75" customFormat="false" ht="12.8" hidden="false" customHeight="false" outlineLevel="0" collapsed="false">
      <c r="A75" s="3" t="n">
        <v>355.194336348</v>
      </c>
      <c r="B75" s="5" t="n">
        <f aca="false">Data!B2^2*(Data!B4+Data!B6)/((Data!B4+Data!B6)^2+(2*PI()*A75*(Data!B3+Data!B5))^2)</f>
        <v>2.099999999589</v>
      </c>
      <c r="C75" s="5" t="n">
        <f aca="false">Data!B7</f>
        <v>2.1</v>
      </c>
      <c r="D75" s="5" t="n">
        <f aca="false">B75</f>
        <v>2.099999999589</v>
      </c>
    </row>
    <row r="76" customFormat="false" ht="12.8" hidden="false" customHeight="false" outlineLevel="0" collapsed="false">
      <c r="A76" s="3" t="n">
        <v>360</v>
      </c>
      <c r="B76" s="5" t="n">
        <f aca="false">Data!B2^2*(Data!B4+Data!B6)/((Data!B4+Data!B6)^2+(2*PI()*A76*(Data!B3+Data!B5))^2)</f>
        <v>2.04952605488185</v>
      </c>
      <c r="C76" s="5" t="n">
        <f aca="false">Data!B7</f>
        <v>2.1</v>
      </c>
    </row>
    <row r="77" customFormat="false" ht="12.8" hidden="false" customHeight="false" outlineLevel="0" collapsed="false">
      <c r="A77" s="3" t="n">
        <v>365</v>
      </c>
      <c r="B77" s="5" t="n">
        <f aca="false">Data!B2^2*(Data!B4+Data!B6)/((Data!B4+Data!B6)^2+(2*PI()*A77*(Data!B3+Data!B5))^2)</f>
        <v>1.99885501465348</v>
      </c>
      <c r="C77" s="5" t="n">
        <f aca="false">Data!B7</f>
        <v>2.1</v>
      </c>
    </row>
    <row r="78" customFormat="false" ht="12.8" hidden="false" customHeight="false" outlineLevel="0" collapsed="false">
      <c r="A78" s="3" t="n">
        <v>370</v>
      </c>
      <c r="B78" s="5" t="n">
        <f aca="false">Data!B2^2*(Data!B4+Data!B6)/((Data!B4+Data!B6)^2+(2*PI()*A78*(Data!B3+Data!B5))^2)</f>
        <v>1.94998011360121</v>
      </c>
      <c r="C78" s="5" t="n">
        <f aca="false">Data!B7</f>
        <v>2.1</v>
      </c>
    </row>
    <row r="79" customFormat="false" ht="12.8" hidden="false" customHeight="false" outlineLevel="0" collapsed="false">
      <c r="A79" s="3" t="n">
        <v>375</v>
      </c>
      <c r="B79" s="5" t="n">
        <f aca="false">Data!B2^2*(Data!B4+Data!B6)/((Data!B4+Data!B6)^2+(2*PI()*A79*(Data!B3+Data!B5))^2)</f>
        <v>1.90282038192174</v>
      </c>
      <c r="C79" s="5" t="n">
        <f aca="false">Data!B7</f>
        <v>2.1</v>
      </c>
    </row>
    <row r="80" customFormat="false" ht="12.8" hidden="false" customHeight="false" outlineLevel="0" collapsed="false">
      <c r="A80" s="3" t="n">
        <v>380</v>
      </c>
      <c r="B80" s="5" t="n">
        <f aca="false">Data!B2^2*(Data!B4+Data!B6)/((Data!B4+Data!B6)^2+(2*PI()*A80*(Data!B3+Data!B5))^2)</f>
        <v>1.85729918321876</v>
      </c>
      <c r="C80" s="5" t="n">
        <f aca="false">Data!B7</f>
        <v>2.1</v>
      </c>
    </row>
    <row r="81" customFormat="false" ht="12.8" hidden="false" customHeight="false" outlineLevel="0" collapsed="false">
      <c r="A81" s="3" t="n">
        <v>385</v>
      </c>
      <c r="B81" s="5" t="n">
        <f aca="false">Data!B2^2*(Data!B4+Data!B6)/((Data!B4+Data!B6)^2+(2*PI()*A81*(Data!B3+Data!B5))^2)</f>
        <v>1.8133439522164</v>
      </c>
      <c r="C81" s="5" t="n">
        <f aca="false">Data!B7</f>
        <v>2.1</v>
      </c>
    </row>
    <row r="82" customFormat="false" ht="12.8" hidden="false" customHeight="false" outlineLevel="0" collapsed="false">
      <c r="A82" s="3" t="n">
        <v>390</v>
      </c>
      <c r="B82" s="5" t="n">
        <f aca="false">Data!B2^2*(Data!B4+Data!B6)/((Data!B4+Data!B6)^2+(2*PI()*A82*(Data!B3+Data!B5))^2)</f>
        <v>1.77088594968189</v>
      </c>
      <c r="C82" s="5" t="n">
        <f aca="false">Data!B7</f>
        <v>2.1</v>
      </c>
    </row>
    <row r="83" customFormat="false" ht="12.8" hidden="false" customHeight="false" outlineLevel="0" collapsed="false">
      <c r="A83" s="3" t="n">
        <v>395</v>
      </c>
      <c r="B83" s="5" t="n">
        <f aca="false">Data!B2^2*(Data!B4+Data!B6)/((Data!B4+Data!B6)^2+(2*PI()*A83*(Data!B3+Data!B5))^2)</f>
        <v>1.7298600333924</v>
      </c>
      <c r="C83" s="5" t="n">
        <f aca="false">Data!B7</f>
        <v>2.1</v>
      </c>
    </row>
    <row r="84" customFormat="false" ht="12.8" hidden="false" customHeight="false" outlineLevel="0" collapsed="false">
      <c r="A84" s="3" t="n">
        <v>400</v>
      </c>
      <c r="B84" s="5" t="n">
        <f aca="false">Data!B2^2*(Data!B4+Data!B6)/((Data!B4+Data!B6)^2+(2*PI()*A84*(Data!B3+Data!B5))^2)</f>
        <v>1.6902044440553</v>
      </c>
      <c r="C84" s="5" t="n">
        <f aca="false">Data!B7</f>
        <v>2.1</v>
      </c>
    </row>
    <row r="85" customFormat="false" ht="12.8" hidden="false" customHeight="false" outlineLevel="0" collapsed="false">
      <c r="A85" s="3" t="n">
        <v>405</v>
      </c>
      <c r="B85" s="5" t="n">
        <f aca="false">Data!B2^2*(Data!B4+Data!B6)/((Data!B4+Data!B6)^2+(2*PI()*A85*(Data!B3+Data!B5))^2)</f>
        <v>1.65186060516285</v>
      </c>
      <c r="C85" s="5" t="n">
        <f aca="false">Data!B7</f>
        <v>2.1</v>
      </c>
    </row>
    <row r="86" customFormat="false" ht="12.8" hidden="false" customHeight="false" outlineLevel="0" collapsed="false">
      <c r="A86" s="3" t="n">
        <v>410</v>
      </c>
      <c r="B86" s="5" t="n">
        <f aca="false">Data!B2^2*(Data!B4+Data!B6)/((Data!B4+Data!B6)^2+(2*PI()*A86*(Data!B3+Data!B5))^2)</f>
        <v>1.61477293582963</v>
      </c>
      <c r="C86" s="5" t="n">
        <f aca="false">Data!B7</f>
        <v>2.1</v>
      </c>
    </row>
    <row r="87" customFormat="false" ht="12.8" hidden="false" customHeight="false" outlineLevel="0" collapsed="false">
      <c r="A87" s="3" t="n">
        <v>415</v>
      </c>
      <c r="B87" s="5" t="n">
        <f aca="false">Data!B2^2*(Data!B4+Data!B6)/((Data!B4+Data!B6)^2+(2*PI()*A87*(Data!B3+Data!B5))^2)</f>
        <v>1.57888867572544</v>
      </c>
      <c r="C87" s="5" t="n">
        <f aca="false">Data!B7</f>
        <v>2.1</v>
      </c>
    </row>
    <row r="88" customFormat="false" ht="12.8" hidden="false" customHeight="false" outlineLevel="0" collapsed="false">
      <c r="A88" s="3" t="n">
        <v>420</v>
      </c>
      <c r="B88" s="5" t="n">
        <f aca="false">Data!B2^2*(Data!B4+Data!B6)/((Data!B4+Data!B6)^2+(2*PI()*A88*(Data!B3+Data!B5))^2)</f>
        <v>1.54415772127655</v>
      </c>
      <c r="C88" s="5" t="n">
        <f aca="false">Data!B7</f>
        <v>2.1</v>
      </c>
    </row>
    <row r="89" customFormat="false" ht="12.8" hidden="false" customHeight="false" outlineLevel="0" collapsed="false">
      <c r="A89" s="3" t="n">
        <v>425</v>
      </c>
      <c r="B89" s="5" t="n">
        <f aca="false">Data!B2^2*(Data!B4+Data!B6)/((Data!B4+Data!B6)^2+(2*PI()*A89*(Data!B3+Data!B5))^2)</f>
        <v>1.51053247236511</v>
      </c>
      <c r="C89" s="5" t="n">
        <f aca="false">Data!B7</f>
        <v>2.1</v>
      </c>
    </row>
    <row r="90" customFormat="false" ht="12.8" hidden="false" customHeight="false" outlineLevel="0" collapsed="false">
      <c r="A90" s="3" t="n">
        <v>430</v>
      </c>
      <c r="B90" s="5" t="n">
        <f aca="false">Data!B2^2*(Data!B4+Data!B6)/((Data!B4+Data!B6)^2+(2*PI()*A90*(Data!B3+Data!B5))^2)</f>
        <v>1.4779676888098</v>
      </c>
      <c r="C90" s="5" t="n">
        <f aca="false">Data!B7</f>
        <v>2.1</v>
      </c>
    </row>
    <row r="91" customFormat="false" ht="12.8" hidden="false" customHeight="false" outlineLevel="0" collapsed="false">
      <c r="A91" s="3" t="n">
        <v>435</v>
      </c>
      <c r="B91" s="5" t="n">
        <f aca="false">Data!B2^2*(Data!B4+Data!B6)/((Data!B4+Data!B6)^2+(2*PI()*A91*(Data!B3+Data!B5))^2)</f>
        <v>1.44642035596058</v>
      </c>
      <c r="C91" s="5" t="n">
        <f aca="false">Data!B7</f>
        <v>2.1</v>
      </c>
    </row>
    <row r="92" customFormat="false" ht="12.8" hidden="false" customHeight="false" outlineLevel="0" collapsed="false">
      <c r="A92" s="3" t="n">
        <v>440</v>
      </c>
      <c r="B92" s="5" t="n">
        <f aca="false">Data!B2^2*(Data!B4+Data!B6)/((Data!B4+Data!B6)^2+(2*PI()*A92*(Data!B3+Data!B5))^2)</f>
        <v>1.4158495587872</v>
      </c>
      <c r="C92" s="5" t="n">
        <f aca="false">Data!B7</f>
        <v>2.1</v>
      </c>
    </row>
    <row r="93" customFormat="false" ht="12.8" hidden="false" customHeight="false" outlineLevel="0" collapsed="false">
      <c r="A93" s="3" t="n">
        <v>445</v>
      </c>
      <c r="B93" s="5" t="n">
        <f aca="false">Data!B2^2*(Data!B4+Data!B6)/((Data!B4+Data!B6)^2+(2*PI()*A93*(Data!B3+Data!B5))^2)</f>
        <v>1.38621636388458</v>
      </c>
      <c r="C93" s="5" t="n">
        <f aca="false">Data!B7</f>
        <v>2.1</v>
      </c>
    </row>
    <row r="94" customFormat="false" ht="12.8" hidden="false" customHeight="false" outlineLevel="0" collapsed="false">
      <c r="A94" s="3" t="n">
        <v>450</v>
      </c>
      <c r="B94" s="5" t="n">
        <f aca="false">Data!B2^2*(Data!B4+Data!B6)/((Data!B4+Data!B6)^2+(2*PI()*A94*(Data!B3+Data!B5))^2)</f>
        <v>1.35748370885869</v>
      </c>
      <c r="C94" s="5" t="n">
        <f aca="false">Data!B7</f>
        <v>2.1</v>
      </c>
    </row>
    <row r="95" customFormat="false" ht="12.8" hidden="false" customHeight="false" outlineLevel="0" collapsed="false">
      <c r="A95" s="3" t="n">
        <v>455</v>
      </c>
      <c r="B95" s="5" t="n">
        <f aca="false">Data!B2^2*(Data!B4+Data!B6)/((Data!B4+Data!B6)^2+(2*PI()*A95*(Data!B3+Data!B5))^2)</f>
        <v>1.32961629859445</v>
      </c>
      <c r="C95" s="5" t="n">
        <f aca="false">Data!B7</f>
        <v>2.1</v>
      </c>
    </row>
    <row r="96" customFormat="false" ht="12.8" hidden="false" customHeight="false" outlineLevel="0" collapsed="false">
      <c r="A96" s="3" t="n">
        <v>460</v>
      </c>
      <c r="B96" s="5" t="n">
        <f aca="false">Data!B2^2*(Data!B4+Data!B6)/((Data!B4+Data!B6)^2+(2*PI()*A96*(Data!B3+Data!B5))^2)</f>
        <v>1.30258050794231</v>
      </c>
      <c r="C96" s="5" t="n">
        <f aca="false">Data!B7</f>
        <v>2.1</v>
      </c>
    </row>
    <row r="97" customFormat="false" ht="12.8" hidden="false" customHeight="false" outlineLevel="0" collapsed="false">
      <c r="A97" s="3" t="n">
        <v>465</v>
      </c>
      <c r="B97" s="5" t="n">
        <f aca="false">Data!B2^2*(Data!B4+Data!B6)/((Data!B4+Data!B6)^2+(2*PI()*A97*(Data!B3+Data!B5))^2)</f>
        <v>1.27634429039288</v>
      </c>
      <c r="C97" s="5" t="n">
        <f aca="false">Data!B7</f>
        <v>2.1</v>
      </c>
    </row>
    <row r="98" customFormat="false" ht="12.8" hidden="false" customHeight="false" outlineLevel="0" collapsed="false">
      <c r="A98" s="3" t="n">
        <v>470</v>
      </c>
      <c r="B98" s="5" t="n">
        <f aca="false">Data!B2^2*(Data!B4+Data!B6)/((Data!B4+Data!B6)^2+(2*PI()*A98*(Data!B3+Data!B5))^2)</f>
        <v>1.25087709233929</v>
      </c>
      <c r="C98" s="5" t="n">
        <f aca="false">Data!B7</f>
        <v>2.1</v>
      </c>
    </row>
    <row r="99" customFormat="false" ht="12.8" hidden="false" customHeight="false" outlineLevel="0" collapsed="false">
      <c r="A99" s="3" t="n">
        <v>475</v>
      </c>
      <c r="B99" s="5" t="n">
        <f aca="false">Data!B2^2*(Data!B4+Data!B6)/((Data!B4+Data!B6)^2+(2*PI()*A99*(Data!B3+Data!B5))^2)</f>
        <v>1.22614977255535</v>
      </c>
      <c r="C99" s="5" t="n">
        <f aca="false">Data!B7</f>
        <v>2.1</v>
      </c>
    </row>
    <row r="100" customFormat="false" ht="12.8" hidden="false" customHeight="false" outlineLevel="0" collapsed="false">
      <c r="A100" s="3" t="n">
        <v>480</v>
      </c>
      <c r="B100" s="5" t="n">
        <f aca="false">Data!B2^2*(Data!B4+Data!B6)/((Data!B4+Data!B6)^2+(2*PI()*A100*(Data!B3+Data!B5))^2)</f>
        <v>1.20213452654352</v>
      </c>
      <c r="C100" s="5" t="n">
        <f aca="false">Data!B7</f>
        <v>2.1</v>
      </c>
    </row>
    <row r="101" customFormat="false" ht="12.8" hidden="false" customHeight="false" outlineLevel="0" collapsed="false">
      <c r="A101" s="3" t="n">
        <v>485</v>
      </c>
      <c r="B101" s="5" t="n">
        <f aca="false">Data!B2^2*(Data!B4+Data!B6)/((Data!B4+Data!B6)^2+(2*PI()*A101*(Data!B3+Data!B5))^2)</f>
        <v>1.17880481543145</v>
      </c>
      <c r="C101" s="5" t="n">
        <f aca="false">Data!B7</f>
        <v>2.1</v>
      </c>
    </row>
    <row r="102" customFormat="false" ht="12.8" hidden="false" customHeight="false" outlineLevel="0" collapsed="false">
      <c r="A102" s="3" t="n">
        <v>490</v>
      </c>
      <c r="B102" s="5" t="n">
        <f aca="false">Data!B2^2*(Data!B4+Data!B6)/((Data!B4+Data!B6)^2+(2*PI()*A102*(Data!B3+Data!B5))^2)</f>
        <v>1.15613529911784</v>
      </c>
      <c r="C102" s="5" t="n">
        <f aca="false">Data!B7</f>
        <v>2.1</v>
      </c>
    </row>
    <row r="103" customFormat="false" ht="12.8" hidden="false" customHeight="false" outlineLevel="0" collapsed="false">
      <c r="A103" s="3" t="n">
        <v>495</v>
      </c>
      <c r="B103" s="5" t="n">
        <f aca="false">Data!B2^2*(Data!B4+Data!B6)/((Data!B4+Data!B6)^2+(2*PI()*A103*(Data!B3+Data!B5))^2)</f>
        <v>1.13410177338985</v>
      </c>
      <c r="C103" s="5" t="n">
        <f aca="false">Data!B7</f>
        <v>2.1</v>
      </c>
    </row>
    <row r="104" customFormat="false" ht="12.8" hidden="false" customHeight="false" outlineLevel="0" collapsed="false">
      <c r="A104" s="3" t="n">
        <v>500</v>
      </c>
      <c r="B104" s="5" t="n">
        <f aca="false">Data!B2^2*(Data!B4+Data!B6)/((Data!B4+Data!B6)^2+(2*PI()*A104*(Data!B3+Data!B5))^2)</f>
        <v>1.11268111075339</v>
      </c>
      <c r="C104" s="5" t="n">
        <f aca="false">Data!B7</f>
        <v>2.1</v>
      </c>
    </row>
    <row r="105" customFormat="false" ht="12.8" hidden="false" customHeight="false" outlineLevel="0" collapsed="false">
      <c r="A105" s="3" t="n">
        <v>505</v>
      </c>
      <c r="B105" s="5" t="n">
        <f aca="false">Data!B2^2*(Data!B4+Data!B6)/((Data!B4+Data!B6)^2+(2*PI()*A105*(Data!B3+Data!B5))^2)</f>
        <v>1.09185120473575</v>
      </c>
      <c r="C105" s="5" t="n">
        <f aca="false">Data!B7</f>
        <v>2.1</v>
      </c>
    </row>
    <row r="106" customFormat="false" ht="12.8" hidden="false" customHeight="false" outlineLevel="0" collapsed="false">
      <c r="A106" s="3" t="n">
        <v>510</v>
      </c>
      <c r="B106" s="5" t="n">
        <f aca="false">Data!B2^2*(Data!B4+Data!B6)/((Data!B4+Data!B6)^2+(2*PI()*A106*(Data!B3+Data!B5))^2)</f>
        <v>1.07159091743663</v>
      </c>
      <c r="C106" s="5" t="n">
        <f aca="false">Data!B7</f>
        <v>2.1</v>
      </c>
    </row>
    <row r="107" customFormat="false" ht="12.8" hidden="false" customHeight="false" outlineLevel="0" collapsed="false">
      <c r="A107" s="3" t="n">
        <v>515</v>
      </c>
      <c r="B107" s="5" t="n">
        <f aca="false">Data!B2^2*(Data!B4+Data!B6)/((Data!B4+Data!B6)^2+(2*PI()*A107*(Data!B3+Data!B5))^2)</f>
        <v>1.0518800301193</v>
      </c>
      <c r="C107" s="5" t="n">
        <f aca="false">Data!B7</f>
        <v>2.1</v>
      </c>
    </row>
    <row r="108" customFormat="false" ht="12.8" hidden="false" customHeight="false" outlineLevel="0" collapsed="false">
      <c r="A108" s="3" t="n">
        <v>520</v>
      </c>
      <c r="B108" s="5" t="n">
        <f aca="false">Data!B2^2*(Data!B4+Data!B6)/((Data!B4+Data!B6)^2+(2*PI()*A108*(Data!B3+Data!B5))^2)</f>
        <v>1.0326991966479</v>
      </c>
      <c r="C108" s="5" t="n">
        <f aca="false">Data!B7</f>
        <v>2.1</v>
      </c>
    </row>
    <row r="109" customFormat="false" ht="12.8" hidden="false" customHeight="false" outlineLevel="0" collapsed="false">
      <c r="A109" s="3" t="n">
        <v>525</v>
      </c>
      <c r="B109" s="5" t="n">
        <f aca="false">Data!B2^2*(Data!B4+Data!B6)/((Data!B4+Data!B6)^2+(2*PI()*A109*(Data!B3+Data!B5))^2)</f>
        <v>1.01402989959005</v>
      </c>
      <c r="C109" s="5" t="n">
        <f aca="false">Data!B7</f>
        <v>2.1</v>
      </c>
    </row>
    <row r="110" customFormat="false" ht="12.8" hidden="false" customHeight="false" outlineLevel="0" collapsed="false">
      <c r="A110" s="3" t="n">
        <v>530</v>
      </c>
      <c r="B110" s="5" t="n">
        <f aca="false">Data!B2^2*(Data!B4+Data!B6)/((Data!B4+Data!B6)^2+(2*PI()*A110*(Data!B3+Data!B5))^2)</f>
        <v>0.995854408816709</v>
      </c>
      <c r="C110" s="5" t="n">
        <f aca="false">Data!B7</f>
        <v>2.1</v>
      </c>
    </row>
    <row r="111" customFormat="false" ht="12.8" hidden="false" customHeight="false" outlineLevel="0" collapsed="false">
      <c r="A111" s="3" t="n">
        <v>535</v>
      </c>
      <c r="B111" s="5" t="n">
        <f aca="false">Data!B2^2*(Data!B4+Data!B6)/((Data!B4+Data!B6)^2+(2*PI()*A111*(Data!B3+Data!B5))^2)</f>
        <v>0.978155742442276</v>
      </c>
      <c r="C111" s="5" t="n">
        <f aca="false">Data!B7</f>
        <v>2.1</v>
      </c>
    </row>
    <row r="112" customFormat="false" ht="12.8" hidden="false" customHeight="false" outlineLevel="0" collapsed="false">
      <c r="A112" s="3" t="n">
        <v>540</v>
      </c>
      <c r="B112" s="5" t="n">
        <f aca="false">Data!B2^2*(Data!B4+Data!B6)/((Data!B4+Data!B6)^2+(2*PI()*A112*(Data!B3+Data!B5))^2)</f>
        <v>0.960917629958812</v>
      </c>
      <c r="C112" s="5" t="n">
        <f aca="false">Data!B7</f>
        <v>2.1</v>
      </c>
    </row>
    <row r="113" customFormat="false" ht="12.8" hidden="false" customHeight="false" outlineLevel="0" collapsed="false">
      <c r="A113" s="3" t="n">
        <v>545</v>
      </c>
      <c r="B113" s="5" t="n">
        <f aca="false">Data!B2^2*(Data!B4+Data!B6)/((Data!B4+Data!B6)^2+(2*PI()*A113*(Data!B3+Data!B5))^2)</f>
        <v>0.944124477428123</v>
      </c>
      <c r="C113" s="5" t="n">
        <f aca="false">Data!B7</f>
        <v>2.1</v>
      </c>
    </row>
    <row r="114" customFormat="false" ht="12.8" hidden="false" customHeight="false" outlineLevel="0" collapsed="false">
      <c r="A114" s="3" t="n">
        <v>550</v>
      </c>
      <c r="B114" s="5" t="n">
        <f aca="false">Data!B2^2*(Data!B4+Data!B6)/((Data!B4+Data!B6)^2+(2*PI()*A114*(Data!B3+Data!B5))^2)</f>
        <v>0.927761334604538</v>
      </c>
      <c r="C114" s="5" t="n">
        <f aca="false">Data!B7</f>
        <v>2.1</v>
      </c>
    </row>
    <row r="115" customFormat="false" ht="12.8" hidden="false" customHeight="false" outlineLevel="0" collapsed="false">
      <c r="A115" s="3" t="n">
        <v>555</v>
      </c>
      <c r="B115" s="5" t="n">
        <f aca="false">Data!B2^2*(Data!B4+Data!B6)/((Data!B4+Data!B6)^2+(2*PI()*A115*(Data!B3+Data!B5))^2)</f>
        <v>0.911813863869795</v>
      </c>
      <c r="C115" s="5" t="n">
        <f aca="false">Data!B7</f>
        <v>2.1</v>
      </c>
    </row>
    <row r="116" customFormat="false" ht="12.8" hidden="false" customHeight="false" outlineLevel="0" collapsed="false">
      <c r="A116" s="3" t="n">
        <v>560</v>
      </c>
      <c r="B116" s="5" t="n">
        <f aca="false">Data!B2^2*(Data!B4+Data!B6)/((Data!B4+Data!B6)^2+(2*PI()*A116*(Data!B3+Data!B5))^2)</f>
        <v>0.896268310869345</v>
      </c>
      <c r="C116" s="5" t="n">
        <f aca="false">Data!B7</f>
        <v>2.1</v>
      </c>
    </row>
    <row r="117" customFormat="false" ht="12.8" hidden="false" customHeight="false" outlineLevel="0" collapsed="false">
      <c r="A117" s="3" t="n">
        <v>565</v>
      </c>
      <c r="B117" s="5" t="n">
        <f aca="false">Data!B2^2*(Data!B4+Data!B6)/((Data!B4+Data!B6)^2+(2*PI()*A117*(Data!B3+Data!B5))^2)</f>
        <v>0.881111476746719</v>
      </c>
      <c r="C117" s="5" t="n">
        <f aca="false">Data!B7</f>
        <v>2.1</v>
      </c>
    </row>
    <row r="118" customFormat="false" ht="12.8" hidden="false" customHeight="false" outlineLevel="0" collapsed="false">
      <c r="A118" s="3" t="n">
        <v>570</v>
      </c>
      <c r="B118" s="5" t="n">
        <f aca="false">Data!B2^2*(Data!B4+Data!B6)/((Data!B4+Data!B6)^2+(2*PI()*A118*(Data!B3+Data!B5))^2)</f>
        <v>0.86633069187945</v>
      </c>
      <c r="C118" s="5" t="n">
        <f aca="false">Data!B7</f>
        <v>2.1</v>
      </c>
    </row>
    <row r="119" customFormat="false" ht="12.8" hidden="false" customHeight="false" outlineLevel="0" collapsed="false">
      <c r="A119" s="3" t="n">
        <v>575</v>
      </c>
      <c r="B119" s="5" t="n">
        <f aca="false">Data!B2^2*(Data!B4+Data!B6)/((Data!B4+Data!B6)^2+(2*PI()*A119*(Data!B3+Data!B5))^2)</f>
        <v>0.851913791026383</v>
      </c>
      <c r="C119" s="5" t="n">
        <f aca="false">Data!B7</f>
        <v>2.1</v>
      </c>
    </row>
    <row r="120" customFormat="false" ht="12.8" hidden="false" customHeight="false" outlineLevel="0" collapsed="false">
      <c r="A120" s="3" t="n">
        <v>580</v>
      </c>
      <c r="B120" s="5" t="n">
        <f aca="false">Data!B2^2*(Data!B4+Data!B6)/((Data!B4+Data!B6)^2+(2*PI()*A120*(Data!B3+Data!B5))^2)</f>
        <v>0.83784908980208</v>
      </c>
      <c r="C120" s="5" t="n">
        <f aca="false">Data!B7</f>
        <v>2.1</v>
      </c>
    </row>
    <row r="121" customFormat="false" ht="12.8" hidden="false" customHeight="false" outlineLevel="0" collapsed="false">
      <c r="A121" s="3" t="n">
        <v>585</v>
      </c>
      <c r="B121" s="5" t="n">
        <f aca="false">Data!B2^2*(Data!B4+Data!B6)/((Data!B4+Data!B6)^2+(2*PI()*A121*(Data!B3+Data!B5))^2)</f>
        <v>0.824125362399569</v>
      </c>
      <c r="C121" s="5" t="n">
        <f aca="false">Data!B7</f>
        <v>2.1</v>
      </c>
    </row>
    <row r="122" customFormat="false" ht="12.8" hidden="false" customHeight="false" outlineLevel="0" collapsed="false">
      <c r="A122" s="3" t="n">
        <v>590</v>
      </c>
      <c r="B122" s="5" t="n">
        <f aca="false">Data!B2^2*(Data!B4+Data!B6)/((Data!B4+Data!B6)^2+(2*PI()*A122*(Data!B3+Data!B5))^2)</f>
        <v>0.810731820487725</v>
      </c>
      <c r="C122" s="5" t="n">
        <f aca="false">Data!B7</f>
        <v>2.1</v>
      </c>
    </row>
    <row r="123" customFormat="false" ht="12.8" hidden="false" customHeight="false" outlineLevel="0" collapsed="false">
      <c r="A123" s="3" t="n">
        <v>595</v>
      </c>
      <c r="B123" s="5" t="n">
        <f aca="false">Data!B2^2*(Data!B4+Data!B6)/((Data!B4+Data!B6)^2+(2*PI()*A123*(Data!B3+Data!B5))^2)</f>
        <v>0.79765809321437</v>
      </c>
      <c r="C123" s="5" t="n">
        <f aca="false">Data!B7</f>
        <v>2.1</v>
      </c>
    </row>
    <row r="124" customFormat="false" ht="12.8" hidden="false" customHeight="false" outlineLevel="0" collapsed="false">
      <c r="A124" s="3" t="n">
        <v>600</v>
      </c>
      <c r="B124" s="5" t="n">
        <f aca="false">Data!B2^2*(Data!B4+Data!B6)/((Data!B4+Data!B6)^2+(2*PI()*A124*(Data!B3+Data!B5))^2)</f>
        <v>0.78489420825057</v>
      </c>
      <c r="C124" s="5" t="n">
        <f aca="false">Data!B7</f>
        <v>2.1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2026-10-17T17:56:02Z</dcterms:created>
  <dc:creator/>
  <dc:description/>
  <dc:language>en-US</dc:language>
  <cp:lastModifiedBy/>
  <dcterms:modified xsi:type="dcterms:W3CDTF">2026-10-17T17:56:04Z</dcterms:modified>
  <cp:revision>1</cp:revision>
  <dc:subject/>
  <dc:title/>
</cp:coreProperties>
</file>