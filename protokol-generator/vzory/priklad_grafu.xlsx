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n\OneDrive\Plocha\střední škola\4. rocnik\mereni\protokoly\12\"/>
    </mc:Choice>
  </mc:AlternateContent>
  <xr:revisionPtr revIDLastSave="0" documentId="13_ncr:1_{3BC08A25-5161-42F9-871A-08B317666432}" xr6:coauthVersionLast="47" xr6:coauthVersionMax="47" xr10:uidLastSave="{00000000-0000-0000-0000-000000000000}"/>
  <bookViews>
    <workbookView xWindow="3510" yWindow="3510" windowWidth="21600" windowHeight="11295" xr2:uid="{7225C597-E6B6-4B0C-A859-4C78D93CB47B}"/>
  </bookViews>
  <sheets>
    <sheet name="VETRAK_CTVRTE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2" l="1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J131" i="2"/>
  <c r="J122" i="2"/>
  <c r="J123" i="2"/>
  <c r="J124" i="2"/>
  <c r="J125" i="2"/>
  <c r="J126" i="2"/>
  <c r="J127" i="2"/>
  <c r="J128" i="2"/>
  <c r="J129" i="2"/>
  <c r="J130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6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122" i="2"/>
  <c r="J121" i="2"/>
  <c r="F121" i="2"/>
  <c r="J120" i="2"/>
  <c r="F120" i="2"/>
  <c r="J119" i="2"/>
  <c r="F119" i="2"/>
  <c r="J118" i="2"/>
  <c r="F118" i="2"/>
  <c r="J117" i="2"/>
  <c r="F117" i="2"/>
  <c r="J116" i="2"/>
  <c r="F116" i="2"/>
  <c r="J115" i="2"/>
  <c r="F115" i="2"/>
  <c r="J114" i="2"/>
  <c r="F114" i="2"/>
  <c r="J113" i="2"/>
  <c r="F113" i="2"/>
  <c r="J112" i="2"/>
  <c r="F112" i="2"/>
  <c r="J111" i="2"/>
  <c r="F111" i="2"/>
  <c r="J110" i="2"/>
  <c r="F110" i="2"/>
  <c r="J109" i="2"/>
  <c r="F109" i="2"/>
  <c r="J108" i="2"/>
  <c r="F108" i="2"/>
  <c r="J107" i="2"/>
  <c r="F107" i="2"/>
  <c r="J106" i="2"/>
  <c r="F106" i="2"/>
  <c r="J105" i="2"/>
  <c r="F105" i="2"/>
  <c r="J104" i="2"/>
  <c r="F104" i="2"/>
  <c r="J103" i="2"/>
  <c r="F103" i="2"/>
  <c r="J102" i="2"/>
  <c r="F102" i="2"/>
  <c r="J101" i="2"/>
  <c r="F101" i="2"/>
  <c r="J100" i="2"/>
  <c r="F100" i="2"/>
  <c r="J99" i="2"/>
  <c r="F99" i="2"/>
  <c r="J98" i="2"/>
  <c r="F98" i="2"/>
  <c r="J97" i="2"/>
  <c r="F97" i="2"/>
  <c r="J96" i="2"/>
  <c r="F96" i="2"/>
  <c r="J95" i="2"/>
  <c r="F95" i="2"/>
  <c r="J94" i="2"/>
  <c r="F94" i="2"/>
  <c r="J93" i="2"/>
  <c r="F93" i="2"/>
  <c r="D93" i="2"/>
  <c r="J92" i="2"/>
  <c r="F92" i="2"/>
  <c r="D92" i="2"/>
  <c r="J91" i="2"/>
  <c r="F91" i="2"/>
  <c r="D91" i="2"/>
  <c r="J90" i="2"/>
  <c r="F90" i="2"/>
  <c r="D90" i="2"/>
  <c r="J89" i="2"/>
  <c r="F89" i="2"/>
  <c r="D89" i="2"/>
  <c r="J88" i="2"/>
  <c r="F88" i="2"/>
  <c r="D88" i="2"/>
  <c r="J87" i="2"/>
  <c r="F87" i="2"/>
  <c r="D87" i="2"/>
  <c r="J86" i="2"/>
  <c r="F86" i="2"/>
  <c r="D86" i="2"/>
  <c r="J85" i="2"/>
  <c r="F85" i="2"/>
  <c r="D85" i="2"/>
  <c r="J84" i="2"/>
  <c r="F84" i="2"/>
  <c r="D84" i="2"/>
  <c r="J83" i="2"/>
  <c r="F83" i="2"/>
  <c r="D83" i="2"/>
  <c r="J82" i="2"/>
  <c r="F82" i="2"/>
  <c r="D82" i="2"/>
  <c r="J81" i="2"/>
  <c r="F81" i="2"/>
  <c r="D81" i="2"/>
  <c r="J80" i="2"/>
  <c r="F80" i="2"/>
  <c r="D80" i="2"/>
  <c r="J79" i="2"/>
  <c r="F79" i="2"/>
  <c r="D79" i="2"/>
  <c r="J78" i="2"/>
  <c r="F78" i="2"/>
  <c r="D78" i="2"/>
  <c r="J77" i="2"/>
  <c r="F77" i="2"/>
  <c r="D77" i="2"/>
  <c r="J76" i="2"/>
  <c r="F76" i="2"/>
  <c r="D76" i="2"/>
  <c r="J75" i="2"/>
  <c r="F75" i="2"/>
  <c r="D75" i="2"/>
  <c r="J74" i="2"/>
  <c r="F74" i="2"/>
  <c r="D74" i="2"/>
  <c r="J73" i="2"/>
  <c r="F73" i="2"/>
  <c r="D73" i="2"/>
  <c r="J72" i="2"/>
  <c r="F72" i="2"/>
  <c r="D72" i="2"/>
  <c r="J71" i="2"/>
  <c r="F71" i="2"/>
  <c r="D71" i="2"/>
  <c r="J70" i="2"/>
  <c r="F70" i="2"/>
  <c r="D70" i="2"/>
  <c r="J69" i="2"/>
  <c r="F69" i="2"/>
  <c r="D69" i="2"/>
  <c r="J68" i="2"/>
  <c r="F68" i="2"/>
  <c r="D68" i="2"/>
  <c r="J67" i="2"/>
  <c r="F67" i="2"/>
  <c r="D67" i="2"/>
  <c r="J66" i="2"/>
  <c r="F66" i="2"/>
  <c r="D66" i="2"/>
  <c r="J65" i="2"/>
  <c r="F65" i="2"/>
  <c r="D65" i="2"/>
  <c r="J64" i="2"/>
  <c r="F64" i="2"/>
  <c r="D64" i="2"/>
  <c r="J63" i="2"/>
  <c r="F63" i="2"/>
  <c r="D63" i="2"/>
  <c r="J62" i="2"/>
  <c r="F62" i="2"/>
  <c r="D62" i="2"/>
  <c r="J61" i="2"/>
  <c r="F61" i="2"/>
  <c r="D61" i="2"/>
  <c r="J60" i="2"/>
  <c r="F60" i="2"/>
  <c r="D60" i="2"/>
  <c r="J59" i="2"/>
  <c r="F59" i="2"/>
  <c r="D59" i="2"/>
  <c r="J58" i="2"/>
  <c r="F58" i="2"/>
  <c r="D58" i="2"/>
  <c r="J57" i="2"/>
  <c r="F57" i="2"/>
  <c r="D57" i="2"/>
  <c r="J56" i="2"/>
  <c r="F56" i="2"/>
  <c r="D56" i="2"/>
  <c r="J55" i="2"/>
  <c r="F55" i="2"/>
  <c r="D55" i="2"/>
  <c r="J54" i="2"/>
  <c r="F54" i="2"/>
  <c r="D54" i="2"/>
  <c r="J53" i="2"/>
  <c r="F53" i="2"/>
  <c r="D53" i="2"/>
  <c r="J52" i="2"/>
  <c r="F52" i="2"/>
  <c r="D52" i="2"/>
  <c r="J51" i="2"/>
  <c r="F51" i="2"/>
  <c r="D51" i="2"/>
  <c r="J50" i="2"/>
  <c r="F50" i="2"/>
  <c r="D50" i="2"/>
  <c r="J49" i="2"/>
  <c r="F49" i="2"/>
  <c r="D49" i="2"/>
  <c r="J48" i="2"/>
  <c r="F48" i="2"/>
  <c r="D48" i="2"/>
  <c r="J47" i="2"/>
  <c r="F47" i="2"/>
  <c r="D47" i="2"/>
  <c r="J46" i="2"/>
  <c r="F46" i="2"/>
  <c r="D46" i="2"/>
  <c r="J45" i="2"/>
  <c r="F45" i="2"/>
  <c r="D45" i="2"/>
  <c r="J44" i="2"/>
  <c r="F44" i="2"/>
  <c r="D44" i="2"/>
  <c r="J43" i="2"/>
  <c r="F43" i="2"/>
  <c r="D43" i="2"/>
  <c r="J42" i="2"/>
  <c r="F42" i="2"/>
  <c r="D42" i="2"/>
  <c r="J41" i="2"/>
  <c r="F41" i="2"/>
  <c r="D41" i="2"/>
  <c r="J40" i="2"/>
  <c r="F40" i="2"/>
  <c r="D40" i="2"/>
  <c r="J39" i="2"/>
  <c r="F39" i="2"/>
  <c r="D39" i="2"/>
  <c r="J38" i="2"/>
  <c r="F38" i="2"/>
  <c r="D38" i="2"/>
  <c r="J37" i="2"/>
  <c r="F37" i="2"/>
  <c r="D37" i="2"/>
  <c r="J36" i="2"/>
  <c r="F36" i="2"/>
  <c r="D36" i="2"/>
  <c r="J35" i="2"/>
  <c r="F35" i="2"/>
  <c r="D35" i="2"/>
  <c r="J34" i="2"/>
  <c r="F34" i="2"/>
  <c r="D34" i="2"/>
  <c r="J33" i="2"/>
  <c r="F33" i="2"/>
  <c r="D33" i="2"/>
  <c r="J32" i="2"/>
  <c r="F32" i="2"/>
  <c r="D32" i="2"/>
  <c r="J31" i="2"/>
  <c r="F31" i="2"/>
  <c r="D31" i="2"/>
  <c r="J30" i="2"/>
  <c r="F30" i="2"/>
  <c r="D30" i="2"/>
  <c r="J29" i="2"/>
  <c r="F29" i="2"/>
  <c r="D29" i="2"/>
  <c r="J28" i="2"/>
  <c r="F28" i="2"/>
  <c r="D28" i="2"/>
  <c r="J27" i="2"/>
  <c r="F27" i="2"/>
  <c r="D27" i="2"/>
  <c r="J26" i="2"/>
  <c r="F26" i="2"/>
  <c r="D26" i="2"/>
  <c r="J25" i="2"/>
  <c r="F25" i="2"/>
  <c r="D25" i="2"/>
  <c r="J24" i="2"/>
  <c r="F24" i="2"/>
  <c r="D24" i="2"/>
  <c r="J23" i="2"/>
  <c r="F23" i="2"/>
  <c r="D23" i="2"/>
  <c r="J22" i="2"/>
  <c r="F22" i="2"/>
  <c r="D22" i="2"/>
  <c r="J21" i="2"/>
  <c r="F21" i="2"/>
  <c r="D21" i="2"/>
  <c r="J20" i="2"/>
  <c r="F20" i="2"/>
  <c r="D20" i="2"/>
  <c r="J19" i="2"/>
  <c r="F19" i="2"/>
  <c r="D19" i="2"/>
  <c r="J18" i="2"/>
  <c r="F18" i="2"/>
  <c r="D18" i="2"/>
  <c r="J17" i="2"/>
  <c r="F17" i="2"/>
  <c r="D17" i="2"/>
  <c r="J16" i="2"/>
  <c r="F16" i="2"/>
  <c r="D16" i="2"/>
  <c r="J15" i="2"/>
  <c r="F15" i="2"/>
  <c r="D15" i="2"/>
  <c r="J14" i="2"/>
  <c r="F14" i="2"/>
  <c r="D14" i="2"/>
  <c r="J13" i="2"/>
  <c r="F13" i="2"/>
  <c r="D13" i="2"/>
  <c r="J12" i="2"/>
  <c r="F12" i="2"/>
  <c r="D12" i="2"/>
  <c r="J11" i="2"/>
  <c r="F11" i="2"/>
  <c r="D11" i="2"/>
  <c r="J10" i="2"/>
  <c r="F10" i="2"/>
  <c r="D10" i="2"/>
  <c r="J9" i="2"/>
  <c r="F9" i="2"/>
  <c r="D9" i="2"/>
  <c r="J8" i="2"/>
  <c r="F8" i="2"/>
  <c r="D8" i="2"/>
  <c r="J7" i="2"/>
  <c r="F7" i="2"/>
  <c r="D7" i="2"/>
  <c r="J6" i="2"/>
  <c r="F6" i="2"/>
  <c r="D6" i="2"/>
  <c r="D5" i="2"/>
  <c r="D4" i="2"/>
  <c r="D3" i="2"/>
  <c r="D2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3" i="1"/>
  <c r="J2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B121" i="1"/>
  <c r="B122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4" i="1"/>
  <c r="F5" i="1"/>
  <c r="F6" i="1"/>
  <c r="F3" i="1"/>
  <c r="F2" i="1" a="1"/>
  <c r="F2" i="1" s="1"/>
  <c r="B25" i="1"/>
  <c r="B26" i="1"/>
  <c r="B27" i="1"/>
  <c r="B19" i="1"/>
  <c r="B20" i="1"/>
  <c r="B21" i="1"/>
  <c r="B22" i="1"/>
  <c r="B15" i="1"/>
  <c r="B16" i="1"/>
  <c r="B18" i="1"/>
  <c r="B24" i="1"/>
  <c r="B10" i="1"/>
  <c r="B11" i="1"/>
  <c r="B5" i="1"/>
  <c r="B6" i="1"/>
  <c r="B8" i="1"/>
  <c r="B3" i="1"/>
  <c r="B13" i="1"/>
  <c r="B30" i="1"/>
  <c r="B2" i="1"/>
  <c r="B23" i="1"/>
  <c r="B17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3" i="1"/>
  <c r="B4" i="1"/>
  <c r="B7" i="1"/>
  <c r="B9" i="1"/>
  <c r="B12" i="1"/>
  <c r="B14" i="1"/>
  <c r="B28" i="1"/>
  <c r="B29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<sst xmlns="http://schemas.openxmlformats.org/spreadsheetml/2006/main" count="8" uniqueCount="4">
  <si>
    <t>čas</t>
  </si>
  <si>
    <t>sekundy</t>
  </si>
  <si>
    <t>Teplota</t>
  </si>
  <si>
    <t xml:space="preserve">požadovaná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</si>
</sst>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100">
                <a:latin typeface="Arial" panose="020B0604020202020204" pitchFamily="34" charset="0"/>
                <a:cs typeface="Arial" panose="020B0604020202020204" pitchFamily="34" charset="0"/>
              </a:rPr>
              <a:t>ČASOVÝ</a:t>
            </a:r>
            <a:r>
              <a:rPr lang="cs-CZ" sz="1100" baseline="0">
                <a:latin typeface="Arial" panose="020B0604020202020204" pitchFamily="34" charset="0"/>
                <a:cs typeface="Arial" panose="020B0604020202020204" pitchFamily="34" charset="0"/>
              </a:rPr>
              <a:t> PRŮBĚH KOLÍSÁNÍ TEPLOTY S VENTILÁTOREM</a:t>
            </a:r>
            <a:endParaRPr lang="cs-CZ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2735345433448722"/>
          <c:y val="2.6960323257998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7.2173782074269013E-2"/>
          <c:y val="0.12963754451012441"/>
          <c:w val="0.88692047083377845"/>
          <c:h val="0.69593295281345202"/>
        </c:manualLayout>
      </c:layout>
      <c:scatterChart>
        <c:scatterStyle val="smoothMarker"/>
        <c:varyColors val="0"/>
        <c:ser>
          <c:idx val="0"/>
          <c:order val="0"/>
          <c:tx>
            <c:v>Skutečná teplota</c:v>
          </c:tx>
          <c:spPr>
            <a:ln w="19050" cap="rnd" cmpd="sng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plus"/>
            <c:size val="7"/>
            <c:spPr>
              <a:noFill/>
              <a:ln w="127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VETRAK_CTVRTE!$B$2:$B$122</c:f>
              <c:numCache>
                <c:formatCode>0</c:formatCode>
                <c:ptCount val="121"/>
                <c:pt idx="0">
                  <c:v>0</c:v>
                </c:pt>
                <c:pt idx="1">
                  <c:v>0.99999999999695888</c:v>
                </c:pt>
                <c:pt idx="2">
                  <c:v>1.9999999999939178</c:v>
                </c:pt>
                <c:pt idx="3">
                  <c:v>3.000000000000469</c:v>
                </c:pt>
                <c:pt idx="4">
                  <c:v>3.9999999999974278</c:v>
                </c:pt>
                <c:pt idx="5">
                  <c:v>4.9999999999943867</c:v>
                </c:pt>
                <c:pt idx="6">
                  <c:v>5.9999999999913456</c:v>
                </c:pt>
                <c:pt idx="7">
                  <c:v>6.9999999999978968</c:v>
                </c:pt>
                <c:pt idx="8">
                  <c:v>7.9999999999948557</c:v>
                </c:pt>
                <c:pt idx="9">
                  <c:v>8.9999999999918145</c:v>
                </c:pt>
                <c:pt idx="10">
                  <c:v>9.9999999999983658</c:v>
                </c:pt>
                <c:pt idx="11">
                  <c:v>10.999999999995325</c:v>
                </c:pt>
                <c:pt idx="12">
                  <c:v>11.999999999992284</c:v>
                </c:pt>
                <c:pt idx="13">
                  <c:v>12.999999999998835</c:v>
                </c:pt>
                <c:pt idx="14">
                  <c:v>13.999999999995794</c:v>
                </c:pt>
                <c:pt idx="15">
                  <c:v>14.999999999992752</c:v>
                </c:pt>
                <c:pt idx="16">
                  <c:v>15.999999999999304</c:v>
                </c:pt>
                <c:pt idx="17">
                  <c:v>16.999999999996263</c:v>
                </c:pt>
                <c:pt idx="18">
                  <c:v>17.999999999993221</c:v>
                </c:pt>
                <c:pt idx="19">
                  <c:v>18.999999999999773</c:v>
                </c:pt>
                <c:pt idx="20">
                  <c:v>19.999999999996732</c:v>
                </c:pt>
                <c:pt idx="21">
                  <c:v>20.99999999999369</c:v>
                </c:pt>
                <c:pt idx="22">
                  <c:v>22.000000000000242</c:v>
                </c:pt>
                <c:pt idx="23">
                  <c:v>22.9999999999972</c:v>
                </c:pt>
                <c:pt idx="24">
                  <c:v>23.999999999994159</c:v>
                </c:pt>
                <c:pt idx="25">
                  <c:v>24.999999999991118</c:v>
                </c:pt>
                <c:pt idx="26">
                  <c:v>25.999999999997669</c:v>
                </c:pt>
                <c:pt idx="27">
                  <c:v>26.999999999994628</c:v>
                </c:pt>
                <c:pt idx="28">
                  <c:v>27.999999999991587</c:v>
                </c:pt>
                <c:pt idx="29">
                  <c:v>28.999999999998138</c:v>
                </c:pt>
                <c:pt idx="30">
                  <c:v>29.999999999995097</c:v>
                </c:pt>
                <c:pt idx="31">
                  <c:v>30.999999999992056</c:v>
                </c:pt>
                <c:pt idx="32">
                  <c:v>31.999999999998607</c:v>
                </c:pt>
                <c:pt idx="33">
                  <c:v>32.999999999995566</c:v>
                </c:pt>
                <c:pt idx="34">
                  <c:v>33.999999999992525</c:v>
                </c:pt>
                <c:pt idx="35">
                  <c:v>34.999999999999076</c:v>
                </c:pt>
                <c:pt idx="36">
                  <c:v>35.999999999996035</c:v>
                </c:pt>
                <c:pt idx="37">
                  <c:v>36.999999999992994</c:v>
                </c:pt>
                <c:pt idx="38">
                  <c:v>37.999999999999545</c:v>
                </c:pt>
                <c:pt idx="39">
                  <c:v>38.999999999996504</c:v>
                </c:pt>
                <c:pt idx="40">
                  <c:v>39.999999999993463</c:v>
                </c:pt>
                <c:pt idx="41">
                  <c:v>41.000000000000014</c:v>
                </c:pt>
                <c:pt idx="42">
                  <c:v>41.999999999996973</c:v>
                </c:pt>
                <c:pt idx="43">
                  <c:v>42.999999999993932</c:v>
                </c:pt>
                <c:pt idx="44">
                  <c:v>44.000000000000483</c:v>
                </c:pt>
                <c:pt idx="45">
                  <c:v>44.999999999997442</c:v>
                </c:pt>
                <c:pt idx="46">
                  <c:v>45.999999999994401</c:v>
                </c:pt>
                <c:pt idx="47">
                  <c:v>46.99999999999136</c:v>
                </c:pt>
                <c:pt idx="48">
                  <c:v>47.999999999997911</c:v>
                </c:pt>
                <c:pt idx="49">
                  <c:v>48.99999999999487</c:v>
                </c:pt>
                <c:pt idx="50">
                  <c:v>49.999999999991829</c:v>
                </c:pt>
                <c:pt idx="51">
                  <c:v>50.99999999999838</c:v>
                </c:pt>
                <c:pt idx="52">
                  <c:v>51.999999999995339</c:v>
                </c:pt>
                <c:pt idx="53">
                  <c:v>52.999999999992298</c:v>
                </c:pt>
                <c:pt idx="54">
                  <c:v>53.999999999998849</c:v>
                </c:pt>
                <c:pt idx="55">
                  <c:v>54.999999999995808</c:v>
                </c:pt>
                <c:pt idx="56">
                  <c:v>55.999999999992767</c:v>
                </c:pt>
                <c:pt idx="57">
                  <c:v>56.999999999999318</c:v>
                </c:pt>
                <c:pt idx="58">
                  <c:v>57.999999999996277</c:v>
                </c:pt>
                <c:pt idx="59">
                  <c:v>58.999999999993236</c:v>
                </c:pt>
                <c:pt idx="60">
                  <c:v>59.999999999999787</c:v>
                </c:pt>
                <c:pt idx="61">
                  <c:v>60.999999999996746</c:v>
                </c:pt>
                <c:pt idx="62">
                  <c:v>61.999999999993705</c:v>
                </c:pt>
                <c:pt idx="63">
                  <c:v>63.000000000000256</c:v>
                </c:pt>
                <c:pt idx="64">
                  <c:v>63.999999999997215</c:v>
                </c:pt>
                <c:pt idx="65">
                  <c:v>64.999999999994174</c:v>
                </c:pt>
                <c:pt idx="66">
                  <c:v>65.999999999991132</c:v>
                </c:pt>
                <c:pt idx="67">
                  <c:v>66.999999999997684</c:v>
                </c:pt>
                <c:pt idx="68">
                  <c:v>67.999999999994643</c:v>
                </c:pt>
                <c:pt idx="69">
                  <c:v>68.999999999991601</c:v>
                </c:pt>
                <c:pt idx="70">
                  <c:v>69.999999999998153</c:v>
                </c:pt>
                <c:pt idx="71">
                  <c:v>70.999999999995111</c:v>
                </c:pt>
                <c:pt idx="72">
                  <c:v>71.99999999999207</c:v>
                </c:pt>
                <c:pt idx="73">
                  <c:v>72.999999999998622</c:v>
                </c:pt>
                <c:pt idx="74">
                  <c:v>73.99999999999558</c:v>
                </c:pt>
                <c:pt idx="75">
                  <c:v>74.999999999992539</c:v>
                </c:pt>
                <c:pt idx="76">
                  <c:v>75.999999999999091</c:v>
                </c:pt>
                <c:pt idx="77">
                  <c:v>76.999999999996049</c:v>
                </c:pt>
                <c:pt idx="78">
                  <c:v>77.999999999993008</c:v>
                </c:pt>
                <c:pt idx="79">
                  <c:v>78.999999999999559</c:v>
                </c:pt>
                <c:pt idx="80">
                  <c:v>79.999999999996518</c:v>
                </c:pt>
                <c:pt idx="81">
                  <c:v>80.999999999993477</c:v>
                </c:pt>
                <c:pt idx="82">
                  <c:v>82.000000000000028</c:v>
                </c:pt>
                <c:pt idx="83">
                  <c:v>82.999999999996987</c:v>
                </c:pt>
                <c:pt idx="84">
                  <c:v>83.999999999993946</c:v>
                </c:pt>
                <c:pt idx="85">
                  <c:v>85.000000000000497</c:v>
                </c:pt>
                <c:pt idx="86">
                  <c:v>85.999999999997456</c:v>
                </c:pt>
                <c:pt idx="87">
                  <c:v>86.999999999994415</c:v>
                </c:pt>
                <c:pt idx="88">
                  <c:v>87.999999999991374</c:v>
                </c:pt>
                <c:pt idx="89">
                  <c:v>88.999999999997925</c:v>
                </c:pt>
                <c:pt idx="90">
                  <c:v>89.999999999994884</c:v>
                </c:pt>
                <c:pt idx="91">
                  <c:v>90.999999999991843</c:v>
                </c:pt>
                <c:pt idx="92">
                  <c:v>91.999999999998394</c:v>
                </c:pt>
                <c:pt idx="93">
                  <c:v>92.999999999995353</c:v>
                </c:pt>
                <c:pt idx="94">
                  <c:v>93.999999999992312</c:v>
                </c:pt>
                <c:pt idx="95">
                  <c:v>94.999999999998863</c:v>
                </c:pt>
                <c:pt idx="96">
                  <c:v>95.999999999995822</c:v>
                </c:pt>
                <c:pt idx="97">
                  <c:v>96.999999999992781</c:v>
                </c:pt>
                <c:pt idx="98">
                  <c:v>97.999999999999332</c:v>
                </c:pt>
                <c:pt idx="99">
                  <c:v>98.999999999996291</c:v>
                </c:pt>
                <c:pt idx="100">
                  <c:v>99.99999999999325</c:v>
                </c:pt>
                <c:pt idx="101">
                  <c:v>100.9999999999998</c:v>
                </c:pt>
                <c:pt idx="102">
                  <c:v>101.99999999999676</c:v>
                </c:pt>
                <c:pt idx="103">
                  <c:v>102.99999999999372</c:v>
                </c:pt>
                <c:pt idx="104">
                  <c:v>104</c:v>
                </c:pt>
                <c:pt idx="105">
                  <c:v>105</c:v>
                </c:pt>
                <c:pt idx="106">
                  <c:v>106.00000000002296</c:v>
                </c:pt>
                <c:pt idx="107">
                  <c:v>107.00000000001033</c:v>
                </c:pt>
                <c:pt idx="108">
                  <c:v>108.00000000000729</c:v>
                </c:pt>
                <c:pt idx="109">
                  <c:v>109.00000000000425</c:v>
                </c:pt>
                <c:pt idx="110">
                  <c:v>109.99999999999162</c:v>
                </c:pt>
                <c:pt idx="111">
                  <c:v>110.99999999998857</c:v>
                </c:pt>
                <c:pt idx="112">
                  <c:v>111.99999999998553</c:v>
                </c:pt>
                <c:pt idx="113">
                  <c:v>112.9999999999729</c:v>
                </c:pt>
                <c:pt idx="114">
                  <c:v>113.99999999996986</c:v>
                </c:pt>
                <c:pt idx="115">
                  <c:v>114.99999999996682</c:v>
                </c:pt>
                <c:pt idx="116">
                  <c:v>115.99999999995418</c:v>
                </c:pt>
                <c:pt idx="117">
                  <c:v>116.99999999995114</c:v>
                </c:pt>
                <c:pt idx="118">
                  <c:v>117.9999999999481</c:v>
                </c:pt>
                <c:pt idx="119">
                  <c:v>118.99999999993547</c:v>
                </c:pt>
                <c:pt idx="120">
                  <c:v>119.99999999993243</c:v>
                </c:pt>
              </c:numCache>
            </c:numRef>
          </c:xVal>
          <c:yVal>
            <c:numRef>
              <c:f>VETRAK_CTVRTE!$F$2:$F$122</c:f>
              <c:numCache>
                <c:formatCode>General</c:formatCode>
                <c:ptCount val="121"/>
                <c:pt idx="0">
                  <c:v>35.072400000000002</c:v>
                </c:pt>
                <c:pt idx="1">
                  <c:v>#N/A</c:v>
                </c:pt>
                <c:pt idx="2">
                  <c:v>35.329500000000003</c:v>
                </c:pt>
                <c:pt idx="3">
                  <c:v>#N/A</c:v>
                </c:pt>
                <c:pt idx="4">
                  <c:v>#N/A</c:v>
                </c:pt>
                <c:pt idx="5">
                  <c:v>37.647199999999998</c:v>
                </c:pt>
                <c:pt idx="6">
                  <c:v>#N/A</c:v>
                </c:pt>
                <c:pt idx="7">
                  <c:v>#N/A</c:v>
                </c:pt>
                <c:pt idx="8">
                  <c:v>39.473100000000002</c:v>
                </c:pt>
                <c:pt idx="9">
                  <c:v>#N/A</c:v>
                </c:pt>
                <c:pt idx="10">
                  <c:v>#N/A</c:v>
                </c:pt>
                <c:pt idx="11">
                  <c:v>39.9114</c:v>
                </c:pt>
                <c:pt idx="12">
                  <c:v>#N/A</c:v>
                </c:pt>
                <c:pt idx="13">
                  <c:v>#N/A</c:v>
                </c:pt>
                <c:pt idx="14">
                  <c:v>39.525100000000002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38.203499999999998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36.203000000000003</c:v>
                </c:pt>
                <c:pt idx="25">
                  <c:v>#N/A</c:v>
                </c:pt>
                <c:pt idx="26">
                  <c:v>#N/A</c:v>
                </c:pt>
                <c:pt idx="27">
                  <c:v>35.179600000000001</c:v>
                </c:pt>
                <c:pt idx="28">
                  <c:v>#N/A</c:v>
                </c:pt>
                <c:pt idx="29">
                  <c:v>35.730200000000004</c:v>
                </c:pt>
                <c:pt idx="30">
                  <c:v>#N/A</c:v>
                </c:pt>
                <c:pt idx="31">
                  <c:v>#N/A</c:v>
                </c:pt>
                <c:pt idx="32">
                  <c:v>38.127899999999997</c:v>
                </c:pt>
                <c:pt idx="33">
                  <c:v>#N/A</c:v>
                </c:pt>
                <c:pt idx="34">
                  <c:v>39.2453</c:v>
                </c:pt>
                <c:pt idx="35">
                  <c:v>#N/A</c:v>
                </c:pt>
                <c:pt idx="36">
                  <c:v>#N/A</c:v>
                </c:pt>
                <c:pt idx="37">
                  <c:v>39.710799999999999</c:v>
                </c:pt>
                <c:pt idx="38">
                  <c:v>#N/A</c:v>
                </c:pt>
                <c:pt idx="39">
                  <c:v>#N/A</c:v>
                </c:pt>
                <c:pt idx="40">
                  <c:v>39.314700000000002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38.156100000000002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36.345999999999997</c:v>
                </c:pt>
                <c:pt idx="50">
                  <c:v>#N/A</c:v>
                </c:pt>
                <c:pt idx="51">
                  <c:v>#N/A</c:v>
                </c:pt>
                <c:pt idx="52">
                  <c:v>35.456400000000002</c:v>
                </c:pt>
                <c:pt idx="53">
                  <c:v>#N/A</c:v>
                </c:pt>
                <c:pt idx="54">
                  <c:v>36.036000000000001</c:v>
                </c:pt>
                <c:pt idx="55">
                  <c:v>#N/A</c:v>
                </c:pt>
                <c:pt idx="56">
                  <c:v>#N/A</c:v>
                </c:pt>
                <c:pt idx="57">
                  <c:v>38.4773</c:v>
                </c:pt>
                <c:pt idx="58">
                  <c:v>#N/A</c:v>
                </c:pt>
                <c:pt idx="59">
                  <c:v>39.603999999999999</c:v>
                </c:pt>
                <c:pt idx="60">
                  <c:v>#N/A</c:v>
                </c:pt>
                <c:pt idx="61">
                  <c:v>#N/A</c:v>
                </c:pt>
                <c:pt idx="62">
                  <c:v>39.996499999999997</c:v>
                </c:pt>
                <c:pt idx="63">
                  <c:v>#N/A</c:v>
                </c:pt>
                <c:pt idx="64">
                  <c:v>#N/A</c:v>
                </c:pt>
                <c:pt idx="65">
                  <c:v>39.5182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37.8688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36.327599999999997</c:v>
                </c:pt>
                <c:pt idx="75">
                  <c:v>#N/A</c:v>
                </c:pt>
                <c:pt idx="76">
                  <c:v>#N/A</c:v>
                </c:pt>
                <c:pt idx="77">
                  <c:v>35.397500000000001</c:v>
                </c:pt>
                <c:pt idx="78">
                  <c:v>#N/A</c:v>
                </c:pt>
                <c:pt idx="79">
                  <c:v>35.974800000000002</c:v>
                </c:pt>
                <c:pt idx="80">
                  <c:v>#N/A</c:v>
                </c:pt>
                <c:pt idx="81">
                  <c:v>37.497300000000003</c:v>
                </c:pt>
                <c:pt idx="82">
                  <c:v>#N/A</c:v>
                </c:pt>
                <c:pt idx="83">
                  <c:v>#N/A</c:v>
                </c:pt>
                <c:pt idx="84">
                  <c:v>39.473100000000002</c:v>
                </c:pt>
                <c:pt idx="85">
                  <c:v>#N/A</c:v>
                </c:pt>
                <c:pt idx="86">
                  <c:v>#N/A</c:v>
                </c:pt>
                <c:pt idx="87">
                  <c:v>39.9114</c:v>
                </c:pt>
                <c:pt idx="88">
                  <c:v>#N/A</c:v>
                </c:pt>
                <c:pt idx="89">
                  <c:v>#N/A</c:v>
                </c:pt>
                <c:pt idx="90">
                  <c:v>39.525100000000002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38.305700000000002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36.446300000000001</c:v>
                </c:pt>
                <c:pt idx="100">
                  <c:v>#N/A</c:v>
                </c:pt>
                <c:pt idx="101">
                  <c:v>#N/A</c:v>
                </c:pt>
                <c:pt idx="102">
                  <c:v>35.550699999999999</c:v>
                </c:pt>
                <c:pt idx="103">
                  <c:v>#N/A</c:v>
                </c:pt>
                <c:pt idx="104">
                  <c:v>36.036000000000001</c:v>
                </c:pt>
                <c:pt idx="105">
                  <c:v>#N/A</c:v>
                </c:pt>
                <c:pt idx="106">
                  <c:v>37.604100000000003</c:v>
                </c:pt>
                <c:pt idx="107">
                  <c:v>#N/A</c:v>
                </c:pt>
                <c:pt idx="108">
                  <c:v>#N/A</c:v>
                </c:pt>
                <c:pt idx="109">
                  <c:v>39.603999999999999</c:v>
                </c:pt>
                <c:pt idx="110">
                  <c:v>#N/A</c:v>
                </c:pt>
                <c:pt idx="111">
                  <c:v>#N/A</c:v>
                </c:pt>
                <c:pt idx="112">
                  <c:v>39.996499999999997</c:v>
                </c:pt>
                <c:pt idx="113">
                  <c:v>#N/A</c:v>
                </c:pt>
                <c:pt idx="114">
                  <c:v>#N/A</c:v>
                </c:pt>
                <c:pt idx="115">
                  <c:v>39.5182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37.8688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21-4CC9-9F9A-ADC648EB3C60}"/>
            </c:ext>
          </c:extLst>
        </c:ser>
        <c:ser>
          <c:idx val="1"/>
          <c:order val="1"/>
          <c:tx>
            <c:v>Požadovaná teplota</c:v>
          </c:tx>
          <c:spPr>
            <a:ln w="15875" cap="rnd">
              <a:solidFill>
                <a:schemeClr val="tx1">
                  <a:lumMod val="95000"/>
                  <a:lumOff val="5000"/>
                </a:schemeClr>
              </a:solidFill>
              <a:round/>
              <a:tailEnd type="none" w="sm" len="sm"/>
            </a:ln>
            <a:effectLst/>
          </c:spPr>
          <c:marker>
            <c:symbol val="plus"/>
            <c:size val="5"/>
            <c:spPr>
              <a:noFill/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VETRAK_CTVRTE!$B$2:$B$122</c:f>
              <c:numCache>
                <c:formatCode>0</c:formatCode>
                <c:ptCount val="121"/>
                <c:pt idx="0">
                  <c:v>0</c:v>
                </c:pt>
                <c:pt idx="1">
                  <c:v>0.99999999999695888</c:v>
                </c:pt>
                <c:pt idx="2">
                  <c:v>1.9999999999939178</c:v>
                </c:pt>
                <c:pt idx="3">
                  <c:v>3.000000000000469</c:v>
                </c:pt>
                <c:pt idx="4">
                  <c:v>3.9999999999974278</c:v>
                </c:pt>
                <c:pt idx="5">
                  <c:v>4.9999999999943867</c:v>
                </c:pt>
                <c:pt idx="6">
                  <c:v>5.9999999999913456</c:v>
                </c:pt>
                <c:pt idx="7">
                  <c:v>6.9999999999978968</c:v>
                </c:pt>
                <c:pt idx="8">
                  <c:v>7.9999999999948557</c:v>
                </c:pt>
                <c:pt idx="9">
                  <c:v>8.9999999999918145</c:v>
                </c:pt>
                <c:pt idx="10">
                  <c:v>9.9999999999983658</c:v>
                </c:pt>
                <c:pt idx="11">
                  <c:v>10.999999999995325</c:v>
                </c:pt>
                <c:pt idx="12">
                  <c:v>11.999999999992284</c:v>
                </c:pt>
                <c:pt idx="13">
                  <c:v>12.999999999998835</c:v>
                </c:pt>
                <c:pt idx="14">
                  <c:v>13.999999999995794</c:v>
                </c:pt>
                <c:pt idx="15">
                  <c:v>14.999999999992752</c:v>
                </c:pt>
                <c:pt idx="16">
                  <c:v>15.999999999999304</c:v>
                </c:pt>
                <c:pt idx="17">
                  <c:v>16.999999999996263</c:v>
                </c:pt>
                <c:pt idx="18">
                  <c:v>17.999999999993221</c:v>
                </c:pt>
                <c:pt idx="19">
                  <c:v>18.999999999999773</c:v>
                </c:pt>
                <c:pt idx="20">
                  <c:v>19.999999999996732</c:v>
                </c:pt>
                <c:pt idx="21">
                  <c:v>20.99999999999369</c:v>
                </c:pt>
                <c:pt idx="22">
                  <c:v>22.000000000000242</c:v>
                </c:pt>
                <c:pt idx="23">
                  <c:v>22.9999999999972</c:v>
                </c:pt>
                <c:pt idx="24">
                  <c:v>23.999999999994159</c:v>
                </c:pt>
                <c:pt idx="25">
                  <c:v>24.999999999991118</c:v>
                </c:pt>
                <c:pt idx="26">
                  <c:v>25.999999999997669</c:v>
                </c:pt>
                <c:pt idx="27">
                  <c:v>26.999999999994628</c:v>
                </c:pt>
                <c:pt idx="28">
                  <c:v>27.999999999991587</c:v>
                </c:pt>
                <c:pt idx="29">
                  <c:v>28.999999999998138</c:v>
                </c:pt>
                <c:pt idx="30">
                  <c:v>29.999999999995097</c:v>
                </c:pt>
                <c:pt idx="31">
                  <c:v>30.999999999992056</c:v>
                </c:pt>
                <c:pt idx="32">
                  <c:v>31.999999999998607</c:v>
                </c:pt>
                <c:pt idx="33">
                  <c:v>32.999999999995566</c:v>
                </c:pt>
                <c:pt idx="34">
                  <c:v>33.999999999992525</c:v>
                </c:pt>
                <c:pt idx="35">
                  <c:v>34.999999999999076</c:v>
                </c:pt>
                <c:pt idx="36">
                  <c:v>35.999999999996035</c:v>
                </c:pt>
                <c:pt idx="37">
                  <c:v>36.999999999992994</c:v>
                </c:pt>
                <c:pt idx="38">
                  <c:v>37.999999999999545</c:v>
                </c:pt>
                <c:pt idx="39">
                  <c:v>38.999999999996504</c:v>
                </c:pt>
                <c:pt idx="40">
                  <c:v>39.999999999993463</c:v>
                </c:pt>
                <c:pt idx="41">
                  <c:v>41.000000000000014</c:v>
                </c:pt>
                <c:pt idx="42">
                  <c:v>41.999999999996973</c:v>
                </c:pt>
                <c:pt idx="43">
                  <c:v>42.999999999993932</c:v>
                </c:pt>
                <c:pt idx="44">
                  <c:v>44.000000000000483</c:v>
                </c:pt>
                <c:pt idx="45">
                  <c:v>44.999999999997442</c:v>
                </c:pt>
                <c:pt idx="46">
                  <c:v>45.999999999994401</c:v>
                </c:pt>
                <c:pt idx="47">
                  <c:v>46.99999999999136</c:v>
                </c:pt>
                <c:pt idx="48">
                  <c:v>47.999999999997911</c:v>
                </c:pt>
                <c:pt idx="49">
                  <c:v>48.99999999999487</c:v>
                </c:pt>
                <c:pt idx="50">
                  <c:v>49.999999999991829</c:v>
                </c:pt>
                <c:pt idx="51">
                  <c:v>50.99999999999838</c:v>
                </c:pt>
                <c:pt idx="52">
                  <c:v>51.999999999995339</c:v>
                </c:pt>
                <c:pt idx="53">
                  <c:v>52.999999999992298</c:v>
                </c:pt>
                <c:pt idx="54">
                  <c:v>53.999999999998849</c:v>
                </c:pt>
                <c:pt idx="55">
                  <c:v>54.999999999995808</c:v>
                </c:pt>
                <c:pt idx="56">
                  <c:v>55.999999999992767</c:v>
                </c:pt>
                <c:pt idx="57">
                  <c:v>56.999999999999318</c:v>
                </c:pt>
                <c:pt idx="58">
                  <c:v>57.999999999996277</c:v>
                </c:pt>
                <c:pt idx="59">
                  <c:v>58.999999999993236</c:v>
                </c:pt>
                <c:pt idx="60">
                  <c:v>59.999999999999787</c:v>
                </c:pt>
                <c:pt idx="61">
                  <c:v>60.999999999996746</c:v>
                </c:pt>
                <c:pt idx="62">
                  <c:v>61.999999999993705</c:v>
                </c:pt>
                <c:pt idx="63">
                  <c:v>63.000000000000256</c:v>
                </c:pt>
                <c:pt idx="64">
                  <c:v>63.999999999997215</c:v>
                </c:pt>
                <c:pt idx="65">
                  <c:v>64.999999999994174</c:v>
                </c:pt>
                <c:pt idx="66">
                  <c:v>65.999999999991132</c:v>
                </c:pt>
                <c:pt idx="67">
                  <c:v>66.999999999997684</c:v>
                </c:pt>
                <c:pt idx="68">
                  <c:v>67.999999999994643</c:v>
                </c:pt>
                <c:pt idx="69">
                  <c:v>68.999999999991601</c:v>
                </c:pt>
                <c:pt idx="70">
                  <c:v>69.999999999998153</c:v>
                </c:pt>
                <c:pt idx="71">
                  <c:v>70.999999999995111</c:v>
                </c:pt>
                <c:pt idx="72">
                  <c:v>71.99999999999207</c:v>
                </c:pt>
                <c:pt idx="73">
                  <c:v>72.999999999998622</c:v>
                </c:pt>
                <c:pt idx="74">
                  <c:v>73.99999999999558</c:v>
                </c:pt>
                <c:pt idx="75">
                  <c:v>74.999999999992539</c:v>
                </c:pt>
                <c:pt idx="76">
                  <c:v>75.999999999999091</c:v>
                </c:pt>
                <c:pt idx="77">
                  <c:v>76.999999999996049</c:v>
                </c:pt>
                <c:pt idx="78">
                  <c:v>77.999999999993008</c:v>
                </c:pt>
                <c:pt idx="79">
                  <c:v>78.999999999999559</c:v>
                </c:pt>
                <c:pt idx="80">
                  <c:v>79.999999999996518</c:v>
                </c:pt>
                <c:pt idx="81">
                  <c:v>80.999999999993477</c:v>
                </c:pt>
                <c:pt idx="82">
                  <c:v>82.000000000000028</c:v>
                </c:pt>
                <c:pt idx="83">
                  <c:v>82.999999999996987</c:v>
                </c:pt>
                <c:pt idx="84">
                  <c:v>83.999999999993946</c:v>
                </c:pt>
                <c:pt idx="85">
                  <c:v>85.000000000000497</c:v>
                </c:pt>
                <c:pt idx="86">
                  <c:v>85.999999999997456</c:v>
                </c:pt>
                <c:pt idx="87">
                  <c:v>86.999999999994415</c:v>
                </c:pt>
                <c:pt idx="88">
                  <c:v>87.999999999991374</c:v>
                </c:pt>
                <c:pt idx="89">
                  <c:v>88.999999999997925</c:v>
                </c:pt>
                <c:pt idx="90">
                  <c:v>89.999999999994884</c:v>
                </c:pt>
                <c:pt idx="91">
                  <c:v>90.999999999991843</c:v>
                </c:pt>
                <c:pt idx="92">
                  <c:v>91.999999999998394</c:v>
                </c:pt>
                <c:pt idx="93">
                  <c:v>92.999999999995353</c:v>
                </c:pt>
                <c:pt idx="94">
                  <c:v>93.999999999992312</c:v>
                </c:pt>
                <c:pt idx="95">
                  <c:v>94.999999999998863</c:v>
                </c:pt>
                <c:pt idx="96">
                  <c:v>95.999999999995822</c:v>
                </c:pt>
                <c:pt idx="97">
                  <c:v>96.999999999992781</c:v>
                </c:pt>
                <c:pt idx="98">
                  <c:v>97.999999999999332</c:v>
                </c:pt>
                <c:pt idx="99">
                  <c:v>98.999999999996291</c:v>
                </c:pt>
                <c:pt idx="100">
                  <c:v>99.99999999999325</c:v>
                </c:pt>
                <c:pt idx="101">
                  <c:v>100.9999999999998</c:v>
                </c:pt>
                <c:pt idx="102">
                  <c:v>101.99999999999676</c:v>
                </c:pt>
                <c:pt idx="103">
                  <c:v>102.99999999999372</c:v>
                </c:pt>
                <c:pt idx="104">
                  <c:v>104</c:v>
                </c:pt>
                <c:pt idx="105">
                  <c:v>105</c:v>
                </c:pt>
                <c:pt idx="106">
                  <c:v>106.00000000002296</c:v>
                </c:pt>
                <c:pt idx="107">
                  <c:v>107.00000000001033</c:v>
                </c:pt>
                <c:pt idx="108">
                  <c:v>108.00000000000729</c:v>
                </c:pt>
                <c:pt idx="109">
                  <c:v>109.00000000000425</c:v>
                </c:pt>
                <c:pt idx="110">
                  <c:v>109.99999999999162</c:v>
                </c:pt>
                <c:pt idx="111">
                  <c:v>110.99999999998857</c:v>
                </c:pt>
                <c:pt idx="112">
                  <c:v>111.99999999998553</c:v>
                </c:pt>
                <c:pt idx="113">
                  <c:v>112.9999999999729</c:v>
                </c:pt>
                <c:pt idx="114">
                  <c:v>113.99999999996986</c:v>
                </c:pt>
                <c:pt idx="115">
                  <c:v>114.99999999996682</c:v>
                </c:pt>
                <c:pt idx="116">
                  <c:v>115.99999999995418</c:v>
                </c:pt>
                <c:pt idx="117">
                  <c:v>116.99999999995114</c:v>
                </c:pt>
                <c:pt idx="118">
                  <c:v>117.9999999999481</c:v>
                </c:pt>
                <c:pt idx="119">
                  <c:v>118.99999999993547</c:v>
                </c:pt>
                <c:pt idx="120">
                  <c:v>119.99999999993243</c:v>
                </c:pt>
              </c:numCache>
            </c:numRef>
          </c:xVal>
          <c:yVal>
            <c:numRef>
              <c:f>VETRAK_CTVRTE!$J$2:$J$122</c:f>
              <c:numCache>
                <c:formatCode>0</c:formatCode>
                <c:ptCount val="121"/>
                <c:pt idx="0">
                  <c:v>36.176499999999997</c:v>
                </c:pt>
                <c:pt idx="1">
                  <c:v>#N/A</c:v>
                </c:pt>
                <c:pt idx="2">
                  <c:v>36.176499999999997</c:v>
                </c:pt>
                <c:pt idx="3">
                  <c:v>#N/A</c:v>
                </c:pt>
                <c:pt idx="4">
                  <c:v>#N/A</c:v>
                </c:pt>
                <c:pt idx="5">
                  <c:v>36.176499999999997</c:v>
                </c:pt>
                <c:pt idx="6">
                  <c:v>#N/A</c:v>
                </c:pt>
                <c:pt idx="7">
                  <c:v>#N/A</c:v>
                </c:pt>
                <c:pt idx="8">
                  <c:v>36.176499999999997</c:v>
                </c:pt>
                <c:pt idx="9">
                  <c:v>#N/A</c:v>
                </c:pt>
                <c:pt idx="10">
                  <c:v>#N/A</c:v>
                </c:pt>
                <c:pt idx="11">
                  <c:v>36.176499999999997</c:v>
                </c:pt>
                <c:pt idx="12">
                  <c:v>#N/A</c:v>
                </c:pt>
                <c:pt idx="13">
                  <c:v>#N/A</c:v>
                </c:pt>
                <c:pt idx="14">
                  <c:v>36.176499999999997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36.176499999999997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36.176499999999997</c:v>
                </c:pt>
                <c:pt idx="25">
                  <c:v>#N/A</c:v>
                </c:pt>
                <c:pt idx="26">
                  <c:v>#N/A</c:v>
                </c:pt>
                <c:pt idx="27">
                  <c:v>36.176499999999997</c:v>
                </c:pt>
                <c:pt idx="28">
                  <c:v>#N/A</c:v>
                </c:pt>
                <c:pt idx="29">
                  <c:v>36.176499999999997</c:v>
                </c:pt>
                <c:pt idx="30">
                  <c:v>#N/A</c:v>
                </c:pt>
                <c:pt idx="31">
                  <c:v>#N/A</c:v>
                </c:pt>
                <c:pt idx="32">
                  <c:v>36.176499999999997</c:v>
                </c:pt>
                <c:pt idx="33">
                  <c:v>#N/A</c:v>
                </c:pt>
                <c:pt idx="34">
                  <c:v>36.176499999999997</c:v>
                </c:pt>
                <c:pt idx="35">
                  <c:v>#N/A</c:v>
                </c:pt>
                <c:pt idx="36">
                  <c:v>#N/A</c:v>
                </c:pt>
                <c:pt idx="37">
                  <c:v>36.176499999999997</c:v>
                </c:pt>
                <c:pt idx="38">
                  <c:v>#N/A</c:v>
                </c:pt>
                <c:pt idx="39">
                  <c:v>#N/A</c:v>
                </c:pt>
                <c:pt idx="40">
                  <c:v>36.176499999999997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36.176499999999997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36.176499999999997</c:v>
                </c:pt>
                <c:pt idx="50">
                  <c:v>#N/A</c:v>
                </c:pt>
                <c:pt idx="51">
                  <c:v>#N/A</c:v>
                </c:pt>
                <c:pt idx="52">
                  <c:v>36.176499999999997</c:v>
                </c:pt>
                <c:pt idx="53">
                  <c:v>#N/A</c:v>
                </c:pt>
                <c:pt idx="54">
                  <c:v>36.176499999999997</c:v>
                </c:pt>
                <c:pt idx="55">
                  <c:v>#N/A</c:v>
                </c:pt>
                <c:pt idx="56">
                  <c:v>#N/A</c:v>
                </c:pt>
                <c:pt idx="57">
                  <c:v>36.176499999999997</c:v>
                </c:pt>
                <c:pt idx="58">
                  <c:v>#N/A</c:v>
                </c:pt>
                <c:pt idx="59">
                  <c:v>36.176499999999997</c:v>
                </c:pt>
                <c:pt idx="60">
                  <c:v>#N/A</c:v>
                </c:pt>
                <c:pt idx="61">
                  <c:v>#N/A</c:v>
                </c:pt>
                <c:pt idx="62">
                  <c:v>36.176499999999997</c:v>
                </c:pt>
                <c:pt idx="63">
                  <c:v>#N/A</c:v>
                </c:pt>
                <c:pt idx="64">
                  <c:v>#N/A</c:v>
                </c:pt>
                <c:pt idx="65">
                  <c:v>36.176499999999997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36.176499999999997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36.176499999999997</c:v>
                </c:pt>
                <c:pt idx="75">
                  <c:v>#N/A</c:v>
                </c:pt>
                <c:pt idx="76">
                  <c:v>#N/A</c:v>
                </c:pt>
                <c:pt idx="77">
                  <c:v>36.176499999999997</c:v>
                </c:pt>
                <c:pt idx="78">
                  <c:v>#N/A</c:v>
                </c:pt>
                <c:pt idx="79">
                  <c:v>36.176499999999997</c:v>
                </c:pt>
                <c:pt idx="80">
                  <c:v>#N/A</c:v>
                </c:pt>
                <c:pt idx="81">
                  <c:v>36.176499999999997</c:v>
                </c:pt>
                <c:pt idx="82">
                  <c:v>#N/A</c:v>
                </c:pt>
                <c:pt idx="83">
                  <c:v>#N/A</c:v>
                </c:pt>
                <c:pt idx="84">
                  <c:v>36.176499999999997</c:v>
                </c:pt>
                <c:pt idx="85">
                  <c:v>#N/A</c:v>
                </c:pt>
                <c:pt idx="86">
                  <c:v>#N/A</c:v>
                </c:pt>
                <c:pt idx="87">
                  <c:v>36.176499999999997</c:v>
                </c:pt>
                <c:pt idx="88">
                  <c:v>#N/A</c:v>
                </c:pt>
                <c:pt idx="89">
                  <c:v>#N/A</c:v>
                </c:pt>
                <c:pt idx="90">
                  <c:v>36.176499999999997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36.176499999999997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36.176499999999997</c:v>
                </c:pt>
                <c:pt idx="100">
                  <c:v>#N/A</c:v>
                </c:pt>
                <c:pt idx="101">
                  <c:v>#N/A</c:v>
                </c:pt>
                <c:pt idx="102">
                  <c:v>36.176499999999997</c:v>
                </c:pt>
                <c:pt idx="103">
                  <c:v>#N/A</c:v>
                </c:pt>
                <c:pt idx="104">
                  <c:v>36.176499999999997</c:v>
                </c:pt>
                <c:pt idx="105">
                  <c:v>#N/A</c:v>
                </c:pt>
                <c:pt idx="106">
                  <c:v>36.176499999999997</c:v>
                </c:pt>
                <c:pt idx="107">
                  <c:v>#N/A</c:v>
                </c:pt>
                <c:pt idx="108">
                  <c:v>#N/A</c:v>
                </c:pt>
                <c:pt idx="109">
                  <c:v>36.176499999999997</c:v>
                </c:pt>
                <c:pt idx="110">
                  <c:v>#N/A</c:v>
                </c:pt>
                <c:pt idx="111">
                  <c:v>#N/A</c:v>
                </c:pt>
                <c:pt idx="112">
                  <c:v>36.176499999999997</c:v>
                </c:pt>
                <c:pt idx="113">
                  <c:v>#N/A</c:v>
                </c:pt>
                <c:pt idx="114">
                  <c:v>#N/A</c:v>
                </c:pt>
                <c:pt idx="115">
                  <c:v>36.176499999999997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36.176499999999997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7F-486C-9A6C-D90451985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498704"/>
        <c:axId val="1241499184"/>
      </c:scatterChart>
      <c:valAx>
        <c:axId val="124149870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50" b="1">
                    <a:effectLst/>
                  </a:rPr>
                  <a:t>t</a:t>
                </a:r>
                <a:r>
                  <a:rPr lang="cs-CZ" sz="1050" b="1" i="0">
                    <a:effectLst/>
                  </a:rPr>
                  <a:t> [𝑠]</a:t>
                </a:r>
                <a:endParaRPr lang="cs-CZ" sz="105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0.48676081531346993"/>
              <c:y val="0.89586309260698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1499184"/>
        <c:crosses val="autoZero"/>
        <c:crossBetween val="midCat"/>
        <c:minorUnit val="5"/>
      </c:valAx>
      <c:valAx>
        <c:axId val="1241499184"/>
        <c:scaling>
          <c:orientation val="minMax"/>
          <c:max val="45"/>
          <c:min val="3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baseline="0">
                    <a:effectLst/>
                  </a:rPr>
                  <a:t>ϑ [°𝐂]</a:t>
                </a:r>
                <a:endParaRPr lang="cs-CZ" b="1"/>
              </a:p>
            </c:rich>
          </c:tx>
          <c:layout>
            <c:manualLayout>
              <c:xMode val="edge"/>
              <c:yMode val="edge"/>
              <c:x val="0"/>
              <c:y val="0.41802060975796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  <a:alpha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1498704"/>
        <c:crosses val="autoZero"/>
        <c:crossBetween val="midCat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layout>
        <c:manualLayout>
          <c:xMode val="edge"/>
          <c:yMode val="edge"/>
          <c:x val="5.9211911593186589E-2"/>
          <c:y val="0.89409664637773834"/>
          <c:w val="0.92534138124728749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anchor="ctr" anchorCtr="1"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100">
                <a:latin typeface="Arial" panose="020B0604020202020204" pitchFamily="34" charset="0"/>
                <a:cs typeface="Arial" panose="020B0604020202020204" pitchFamily="34" charset="0"/>
              </a:rPr>
              <a:t>ČASOVÝ</a:t>
            </a:r>
            <a:r>
              <a:rPr lang="cs-CZ" sz="1100" baseline="0">
                <a:latin typeface="Arial" panose="020B0604020202020204" pitchFamily="34" charset="0"/>
                <a:cs typeface="Arial" panose="020B0604020202020204" pitchFamily="34" charset="0"/>
              </a:rPr>
              <a:t> PRŮBĚH KOLÍSÁNÍ TEPLOTY 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BEZ</a:t>
            </a:r>
            <a:r>
              <a:rPr lang="cs-CZ" sz="1100" baseline="0">
                <a:latin typeface="Arial" panose="020B0604020202020204" pitchFamily="34" charset="0"/>
                <a:cs typeface="Arial" panose="020B0604020202020204" pitchFamily="34" charset="0"/>
              </a:rPr>
              <a:t> VENTILÁTO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RU</a:t>
            </a:r>
            <a:endParaRPr lang="cs-CZ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055909801183767"/>
          <c:y val="3.91198155203951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7.2173782074269013E-2"/>
          <c:y val="0.12963754451012441"/>
          <c:w val="0.88692047083377845"/>
          <c:h val="0.69593295281345202"/>
        </c:manualLayout>
      </c:layout>
      <c:scatterChart>
        <c:scatterStyle val="smoothMarker"/>
        <c:varyColors val="0"/>
        <c:ser>
          <c:idx val="0"/>
          <c:order val="0"/>
          <c:tx>
            <c:v>Skutečná teplota</c:v>
          </c:tx>
          <c:spPr>
            <a:ln w="19050" cap="rnd" cmpd="sng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plus"/>
            <c:size val="7"/>
            <c:spPr>
              <a:noFill/>
              <a:ln w="127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List1!$B$2:$B$290</c:f>
              <c:numCache>
                <c:formatCode>0</c:formatCode>
                <c:ptCount val="289"/>
                <c:pt idx="4">
                  <c:v>0</c:v>
                </c:pt>
                <c:pt idx="5">
                  <c:v>1.0000000000065512</c:v>
                </c:pt>
                <c:pt idx="6">
                  <c:v>2.0000000000035101</c:v>
                </c:pt>
                <c:pt idx="7">
                  <c:v>3.000000000000469</c:v>
                </c:pt>
                <c:pt idx="8">
                  <c:v>3.9999999999974278</c:v>
                </c:pt>
                <c:pt idx="9">
                  <c:v>5.000000000003979</c:v>
                </c:pt>
                <c:pt idx="10">
                  <c:v>6.0000000000009379</c:v>
                </c:pt>
                <c:pt idx="11">
                  <c:v>6.9999999999978968</c:v>
                </c:pt>
                <c:pt idx="12">
                  <c:v>8.000000000004448</c:v>
                </c:pt>
                <c:pt idx="13">
                  <c:v>9.0000000000014069</c:v>
                </c:pt>
                <c:pt idx="14">
                  <c:v>9.9999999999983658</c:v>
                </c:pt>
                <c:pt idx="15">
                  <c:v>11.000000000004917</c:v>
                </c:pt>
                <c:pt idx="16">
                  <c:v>12.000000000001876</c:v>
                </c:pt>
                <c:pt idx="17">
                  <c:v>12.999999999998835</c:v>
                </c:pt>
                <c:pt idx="18">
                  <c:v>14.000000000005386</c:v>
                </c:pt>
                <c:pt idx="19">
                  <c:v>15.000000000002345</c:v>
                </c:pt>
                <c:pt idx="20">
                  <c:v>15.999999999999304</c:v>
                </c:pt>
                <c:pt idx="21">
                  <c:v>17.000000000005855</c:v>
                </c:pt>
                <c:pt idx="22">
                  <c:v>18.000000000002814</c:v>
                </c:pt>
                <c:pt idx="23">
                  <c:v>18.999999999999773</c:v>
                </c:pt>
                <c:pt idx="24">
                  <c:v>20.000000000006324</c:v>
                </c:pt>
                <c:pt idx="25">
                  <c:v>21.000000000003283</c:v>
                </c:pt>
                <c:pt idx="26">
                  <c:v>22.000000000000242</c:v>
                </c:pt>
                <c:pt idx="27">
                  <c:v>22.9999999999972</c:v>
                </c:pt>
                <c:pt idx="28">
                  <c:v>24.000000000003752</c:v>
                </c:pt>
                <c:pt idx="29">
                  <c:v>25.000000000000711</c:v>
                </c:pt>
                <c:pt idx="30">
                  <c:v>25.999999999997669</c:v>
                </c:pt>
                <c:pt idx="31">
                  <c:v>27.000000000004221</c:v>
                </c:pt>
                <c:pt idx="32">
                  <c:v>28.00000000000118</c:v>
                </c:pt>
                <c:pt idx="33">
                  <c:v>28.999999999998138</c:v>
                </c:pt>
                <c:pt idx="34">
                  <c:v>30.00000000000469</c:v>
                </c:pt>
                <c:pt idx="35">
                  <c:v>31.000000000001648</c:v>
                </c:pt>
                <c:pt idx="36">
                  <c:v>31.999999999998607</c:v>
                </c:pt>
                <c:pt idx="37">
                  <c:v>33.000000000005159</c:v>
                </c:pt>
                <c:pt idx="38">
                  <c:v>34.000000000002117</c:v>
                </c:pt>
                <c:pt idx="39">
                  <c:v>34.999999999999076</c:v>
                </c:pt>
                <c:pt idx="40">
                  <c:v>36.000000000005627</c:v>
                </c:pt>
                <c:pt idx="41">
                  <c:v>37.000000000002586</c:v>
                </c:pt>
                <c:pt idx="42">
                  <c:v>37.999999999999545</c:v>
                </c:pt>
                <c:pt idx="43">
                  <c:v>39.000000000006096</c:v>
                </c:pt>
                <c:pt idx="44">
                  <c:v>40.000000000003055</c:v>
                </c:pt>
                <c:pt idx="45">
                  <c:v>41.000000000000014</c:v>
                </c:pt>
                <c:pt idx="46">
                  <c:v>42.000000000006565</c:v>
                </c:pt>
                <c:pt idx="47">
                  <c:v>43.000000000003524</c:v>
                </c:pt>
                <c:pt idx="48">
                  <c:v>44.000000000000483</c:v>
                </c:pt>
                <c:pt idx="49">
                  <c:v>44.999999999997442</c:v>
                </c:pt>
                <c:pt idx="50">
                  <c:v>46.000000000003993</c:v>
                </c:pt>
                <c:pt idx="51">
                  <c:v>47.000000000000952</c:v>
                </c:pt>
                <c:pt idx="52">
                  <c:v>47.999999999997911</c:v>
                </c:pt>
                <c:pt idx="53">
                  <c:v>49.000000000004462</c:v>
                </c:pt>
                <c:pt idx="54">
                  <c:v>50.000000000001421</c:v>
                </c:pt>
                <c:pt idx="55">
                  <c:v>50.99999999999838</c:v>
                </c:pt>
                <c:pt idx="56">
                  <c:v>52.000000000004931</c:v>
                </c:pt>
                <c:pt idx="57">
                  <c:v>53.00000000000189</c:v>
                </c:pt>
                <c:pt idx="58">
                  <c:v>53.999999999998849</c:v>
                </c:pt>
                <c:pt idx="59">
                  <c:v>55.0000000000054</c:v>
                </c:pt>
                <c:pt idx="60">
                  <c:v>56.000000000002359</c:v>
                </c:pt>
                <c:pt idx="61">
                  <c:v>56.999999999999318</c:v>
                </c:pt>
                <c:pt idx="62">
                  <c:v>58.000000000005869</c:v>
                </c:pt>
                <c:pt idx="63">
                  <c:v>59.000000000002828</c:v>
                </c:pt>
                <c:pt idx="64">
                  <c:v>59.999999999999787</c:v>
                </c:pt>
                <c:pt idx="65">
                  <c:v>61.000000000006338</c:v>
                </c:pt>
                <c:pt idx="66">
                  <c:v>62.000000000003297</c:v>
                </c:pt>
                <c:pt idx="67">
                  <c:v>63.000000000000256</c:v>
                </c:pt>
                <c:pt idx="68">
                  <c:v>63.999999999997215</c:v>
                </c:pt>
                <c:pt idx="69">
                  <c:v>65.000000000003766</c:v>
                </c:pt>
                <c:pt idx="70">
                  <c:v>66.000000000000725</c:v>
                </c:pt>
                <c:pt idx="71">
                  <c:v>66.999999999997684</c:v>
                </c:pt>
                <c:pt idx="72">
                  <c:v>68.000000000004235</c:v>
                </c:pt>
                <c:pt idx="73">
                  <c:v>69.000000000001194</c:v>
                </c:pt>
                <c:pt idx="74">
                  <c:v>69.999999999998153</c:v>
                </c:pt>
                <c:pt idx="75">
                  <c:v>71.000000000004704</c:v>
                </c:pt>
                <c:pt idx="76">
                  <c:v>72.000000000001663</c:v>
                </c:pt>
                <c:pt idx="77">
                  <c:v>72.999999999998622</c:v>
                </c:pt>
                <c:pt idx="78">
                  <c:v>74.000000000005173</c:v>
                </c:pt>
                <c:pt idx="79">
                  <c:v>75.000000000002132</c:v>
                </c:pt>
                <c:pt idx="80">
                  <c:v>75.999999999999091</c:v>
                </c:pt>
                <c:pt idx="81">
                  <c:v>77.000000000005642</c:v>
                </c:pt>
                <c:pt idx="82">
                  <c:v>78.000000000002601</c:v>
                </c:pt>
                <c:pt idx="83">
                  <c:v>78.999999999999559</c:v>
                </c:pt>
                <c:pt idx="84">
                  <c:v>80.000000000006111</c:v>
                </c:pt>
                <c:pt idx="85">
                  <c:v>81.00000000000307</c:v>
                </c:pt>
                <c:pt idx="86">
                  <c:v>82.000000000000028</c:v>
                </c:pt>
                <c:pt idx="87">
                  <c:v>83.00000000000658</c:v>
                </c:pt>
                <c:pt idx="88">
                  <c:v>84.000000000003539</c:v>
                </c:pt>
                <c:pt idx="89">
                  <c:v>85.000000000000497</c:v>
                </c:pt>
                <c:pt idx="90">
                  <c:v>85.999999999997456</c:v>
                </c:pt>
                <c:pt idx="91">
                  <c:v>87.000000000004007</c:v>
                </c:pt>
                <c:pt idx="92">
                  <c:v>88.000000000000966</c:v>
                </c:pt>
                <c:pt idx="93">
                  <c:v>88.999999999997925</c:v>
                </c:pt>
                <c:pt idx="94">
                  <c:v>90.000000000004476</c:v>
                </c:pt>
                <c:pt idx="95">
                  <c:v>91.000000000001435</c:v>
                </c:pt>
                <c:pt idx="96">
                  <c:v>91.999999999998394</c:v>
                </c:pt>
                <c:pt idx="97">
                  <c:v>93.000000000004945</c:v>
                </c:pt>
                <c:pt idx="98">
                  <c:v>94.000000000001904</c:v>
                </c:pt>
                <c:pt idx="99">
                  <c:v>94.999999999998863</c:v>
                </c:pt>
                <c:pt idx="100">
                  <c:v>96.000000000005414</c:v>
                </c:pt>
                <c:pt idx="101">
                  <c:v>97.000000000002373</c:v>
                </c:pt>
                <c:pt idx="102">
                  <c:v>97.999999999999332</c:v>
                </c:pt>
                <c:pt idx="103">
                  <c:v>99.000000000005883</c:v>
                </c:pt>
                <c:pt idx="104">
                  <c:v>100.00000000000284</c:v>
                </c:pt>
                <c:pt idx="105">
                  <c:v>100.9999999999998</c:v>
                </c:pt>
                <c:pt idx="106">
                  <c:v>102.00000000000635</c:v>
                </c:pt>
                <c:pt idx="107">
                  <c:v>103.00000000000331</c:v>
                </c:pt>
                <c:pt idx="108">
                  <c:v>104.00000000000027</c:v>
                </c:pt>
                <c:pt idx="109">
                  <c:v>104.99999999999723</c:v>
                </c:pt>
                <c:pt idx="110">
                  <c:v>106.00000000000378</c:v>
                </c:pt>
                <c:pt idx="111">
                  <c:v>107.00000000000074</c:v>
                </c:pt>
                <c:pt idx="112">
                  <c:v>107.9999999999977</c:v>
                </c:pt>
                <c:pt idx="113">
                  <c:v>109.00000000000425</c:v>
                </c:pt>
                <c:pt idx="114">
                  <c:v>110.00000000000121</c:v>
                </c:pt>
                <c:pt idx="115">
                  <c:v>110.99999999999817</c:v>
                </c:pt>
                <c:pt idx="116">
                  <c:v>112.00000000000472</c:v>
                </c:pt>
                <c:pt idx="117">
                  <c:v>113.00000000000168</c:v>
                </c:pt>
                <c:pt idx="118">
                  <c:v>113.99999999999864</c:v>
                </c:pt>
                <c:pt idx="119">
                  <c:v>115.00000000000519</c:v>
                </c:pt>
                <c:pt idx="120">
                  <c:v>116.00000000000215</c:v>
                </c:pt>
                <c:pt idx="121">
                  <c:v>116.9999999999991</c:v>
                </c:pt>
                <c:pt idx="122">
                  <c:v>118.00000000000566</c:v>
                </c:pt>
                <c:pt idx="123">
                  <c:v>119.00000000000261</c:v>
                </c:pt>
                <c:pt idx="124">
                  <c:v>119.99999999999957</c:v>
                </c:pt>
                <c:pt idx="125">
                  <c:v>121.00000000000612</c:v>
                </c:pt>
                <c:pt idx="126">
                  <c:v>122.00000000000308</c:v>
                </c:pt>
                <c:pt idx="127">
                  <c:v>123.00000000000004</c:v>
                </c:pt>
                <c:pt idx="128">
                  <c:v>123.999999999997</c:v>
                </c:pt>
                <c:pt idx="129">
                  <c:v>125.00000000000355</c:v>
                </c:pt>
                <c:pt idx="130">
                  <c:v>126.00000000000051</c:v>
                </c:pt>
                <c:pt idx="131">
                  <c:v>126.99999999999747</c:v>
                </c:pt>
                <c:pt idx="132">
                  <c:v>128.00000000000404</c:v>
                </c:pt>
                <c:pt idx="133">
                  <c:v>129.00000000000097</c:v>
                </c:pt>
                <c:pt idx="134">
                  <c:v>129.99999999999795</c:v>
                </c:pt>
                <c:pt idx="135">
                  <c:v>131.00000000000449</c:v>
                </c:pt>
                <c:pt idx="136">
                  <c:v>132.00000000000145</c:v>
                </c:pt>
                <c:pt idx="137">
                  <c:v>132.99999999999841</c:v>
                </c:pt>
                <c:pt idx="138">
                  <c:v>134.00000000000495</c:v>
                </c:pt>
                <c:pt idx="139">
                  <c:v>135.00000000000193</c:v>
                </c:pt>
                <c:pt idx="140">
                  <c:v>135.99999999999886</c:v>
                </c:pt>
                <c:pt idx="141">
                  <c:v>137.00000000000543</c:v>
                </c:pt>
                <c:pt idx="142">
                  <c:v>138.00000000000239</c:v>
                </c:pt>
                <c:pt idx="143">
                  <c:v>138.99999999999935</c:v>
                </c:pt>
                <c:pt idx="144">
                  <c:v>140.00000000000591</c:v>
                </c:pt>
                <c:pt idx="145">
                  <c:v>141.00000000000284</c:v>
                </c:pt>
                <c:pt idx="146">
                  <c:v>141.99999999999983</c:v>
                </c:pt>
                <c:pt idx="147">
                  <c:v>143.00000000000637</c:v>
                </c:pt>
                <c:pt idx="148">
                  <c:v>144.00000000000333</c:v>
                </c:pt>
                <c:pt idx="149">
                  <c:v>145.00000000000028</c:v>
                </c:pt>
                <c:pt idx="150">
                  <c:v>145.99999999999724</c:v>
                </c:pt>
                <c:pt idx="151">
                  <c:v>147.00000000000381</c:v>
                </c:pt>
                <c:pt idx="152">
                  <c:v>148.00000000000074</c:v>
                </c:pt>
                <c:pt idx="153">
                  <c:v>148.99999999999773</c:v>
                </c:pt>
                <c:pt idx="154">
                  <c:v>150.00000000000426</c:v>
                </c:pt>
                <c:pt idx="155">
                  <c:v>151.00000000000122</c:v>
                </c:pt>
                <c:pt idx="156">
                  <c:v>151.99999999999818</c:v>
                </c:pt>
                <c:pt idx="157">
                  <c:v>153.00000000000472</c:v>
                </c:pt>
                <c:pt idx="158">
                  <c:v>154.00000000000171</c:v>
                </c:pt>
                <c:pt idx="159">
                  <c:v>154.99999999999864</c:v>
                </c:pt>
                <c:pt idx="160">
                  <c:v>156.0000000000052</c:v>
                </c:pt>
                <c:pt idx="161">
                  <c:v>157.00000000000216</c:v>
                </c:pt>
                <c:pt idx="162">
                  <c:v>157.99999999999912</c:v>
                </c:pt>
                <c:pt idx="163">
                  <c:v>159.00000000000568</c:v>
                </c:pt>
                <c:pt idx="164">
                  <c:v>160.00000000000261</c:v>
                </c:pt>
                <c:pt idx="165">
                  <c:v>160.9999999999996</c:v>
                </c:pt>
                <c:pt idx="166">
                  <c:v>162.00000000000614</c:v>
                </c:pt>
                <c:pt idx="167">
                  <c:v>163.0000000000031</c:v>
                </c:pt>
                <c:pt idx="168">
                  <c:v>164.00000000000006</c:v>
                </c:pt>
                <c:pt idx="169">
                  <c:v>164.99999999999702</c:v>
                </c:pt>
                <c:pt idx="170">
                  <c:v>166.00000000000358</c:v>
                </c:pt>
                <c:pt idx="171">
                  <c:v>167.00000000000051</c:v>
                </c:pt>
                <c:pt idx="172">
                  <c:v>167.9999999999975</c:v>
                </c:pt>
                <c:pt idx="173">
                  <c:v>169.00000000000404</c:v>
                </c:pt>
                <c:pt idx="174">
                  <c:v>170.00000000000099</c:v>
                </c:pt>
                <c:pt idx="175">
                  <c:v>170.99999999999795</c:v>
                </c:pt>
                <c:pt idx="176">
                  <c:v>172.00000000000449</c:v>
                </c:pt>
                <c:pt idx="177">
                  <c:v>173.00000000000148</c:v>
                </c:pt>
                <c:pt idx="178">
                  <c:v>173.99999999999841</c:v>
                </c:pt>
                <c:pt idx="179">
                  <c:v>175.00000000000497</c:v>
                </c:pt>
                <c:pt idx="180">
                  <c:v>176.00000000000193</c:v>
                </c:pt>
                <c:pt idx="181">
                  <c:v>176.99999999999889</c:v>
                </c:pt>
                <c:pt idx="182">
                  <c:v>178.00000000000546</c:v>
                </c:pt>
                <c:pt idx="183">
                  <c:v>179.00000000000239</c:v>
                </c:pt>
                <c:pt idx="184">
                  <c:v>179.99999999999937</c:v>
                </c:pt>
                <c:pt idx="185">
                  <c:v>181.00000000000591</c:v>
                </c:pt>
                <c:pt idx="186">
                  <c:v>182.00000000000287</c:v>
                </c:pt>
                <c:pt idx="187">
                  <c:v>182.99999999999983</c:v>
                </c:pt>
                <c:pt idx="188">
                  <c:v>184.00000000000637</c:v>
                </c:pt>
                <c:pt idx="189">
                  <c:v>185.00000000000335</c:v>
                </c:pt>
                <c:pt idx="190">
                  <c:v>186.00000000000028</c:v>
                </c:pt>
                <c:pt idx="191">
                  <c:v>186.99999999999727</c:v>
                </c:pt>
                <c:pt idx="192">
                  <c:v>188.00000000000381</c:v>
                </c:pt>
                <c:pt idx="193">
                  <c:v>189.00000000000077</c:v>
                </c:pt>
                <c:pt idx="194">
                  <c:v>189.99999999999773</c:v>
                </c:pt>
                <c:pt idx="195">
                  <c:v>191.00000000000426</c:v>
                </c:pt>
                <c:pt idx="196">
                  <c:v>192.00000000000125</c:v>
                </c:pt>
                <c:pt idx="197">
                  <c:v>192.99999999999818</c:v>
                </c:pt>
                <c:pt idx="198">
                  <c:v>194.00000000000475</c:v>
                </c:pt>
                <c:pt idx="199">
                  <c:v>195.00000000000171</c:v>
                </c:pt>
                <c:pt idx="200">
                  <c:v>195.99999999999866</c:v>
                </c:pt>
                <c:pt idx="201">
                  <c:v>197.00000000000523</c:v>
                </c:pt>
                <c:pt idx="202">
                  <c:v>198.00000000000216</c:v>
                </c:pt>
                <c:pt idx="203">
                  <c:v>198.99999999999915</c:v>
                </c:pt>
                <c:pt idx="204">
                  <c:v>200.00000000000568</c:v>
                </c:pt>
                <c:pt idx="205">
                  <c:v>201.00000000000264</c:v>
                </c:pt>
                <c:pt idx="206">
                  <c:v>201.9999999999996</c:v>
                </c:pt>
                <c:pt idx="207">
                  <c:v>203.00000000000614</c:v>
                </c:pt>
                <c:pt idx="208">
                  <c:v>204.00000000000313</c:v>
                </c:pt>
                <c:pt idx="209">
                  <c:v>205.00000000000006</c:v>
                </c:pt>
                <c:pt idx="210">
                  <c:v>205.99999999999704</c:v>
                </c:pt>
                <c:pt idx="211">
                  <c:v>207.00000000000358</c:v>
                </c:pt>
                <c:pt idx="212">
                  <c:v>208.00000000000054</c:v>
                </c:pt>
                <c:pt idx="213">
                  <c:v>208.9999999999975</c:v>
                </c:pt>
                <c:pt idx="214">
                  <c:v>210.00000000000404</c:v>
                </c:pt>
                <c:pt idx="215">
                  <c:v>211.00000000000102</c:v>
                </c:pt>
                <c:pt idx="216">
                  <c:v>211.99999999999795</c:v>
                </c:pt>
                <c:pt idx="217">
                  <c:v>213.00000000000452</c:v>
                </c:pt>
                <c:pt idx="218">
                  <c:v>214.00000000000148</c:v>
                </c:pt>
                <c:pt idx="219">
                  <c:v>214.99999999999844</c:v>
                </c:pt>
                <c:pt idx="220">
                  <c:v>216.000000000005</c:v>
                </c:pt>
                <c:pt idx="221">
                  <c:v>217.00000000000193</c:v>
                </c:pt>
                <c:pt idx="222">
                  <c:v>217.99999999999892</c:v>
                </c:pt>
                <c:pt idx="223">
                  <c:v>219.00000000000546</c:v>
                </c:pt>
                <c:pt idx="224">
                  <c:v>220.00000000000242</c:v>
                </c:pt>
                <c:pt idx="225">
                  <c:v>220.99999999999937</c:v>
                </c:pt>
                <c:pt idx="226">
                  <c:v>222.00000000000591</c:v>
                </c:pt>
                <c:pt idx="227">
                  <c:v>223.0000000000029</c:v>
                </c:pt>
                <c:pt idx="228">
                  <c:v>223.99999999999983</c:v>
                </c:pt>
                <c:pt idx="229">
                  <c:v>225.00000000000639</c:v>
                </c:pt>
                <c:pt idx="230">
                  <c:v>226.00000000000335</c:v>
                </c:pt>
                <c:pt idx="231">
                  <c:v>227.00000000000031</c:v>
                </c:pt>
                <c:pt idx="232">
                  <c:v>227.99999999999727</c:v>
                </c:pt>
                <c:pt idx="233">
                  <c:v>229.00000000000381</c:v>
                </c:pt>
                <c:pt idx="234">
                  <c:v>230.0000000000008</c:v>
                </c:pt>
                <c:pt idx="235">
                  <c:v>230.99999999999773</c:v>
                </c:pt>
                <c:pt idx="236">
                  <c:v>232.00000000000429</c:v>
                </c:pt>
                <c:pt idx="237">
                  <c:v>233.00000000000125</c:v>
                </c:pt>
                <c:pt idx="238">
                  <c:v>233.99999999999821</c:v>
                </c:pt>
                <c:pt idx="239">
                  <c:v>235.00000000000477</c:v>
                </c:pt>
                <c:pt idx="240">
                  <c:v>236.00000000000171</c:v>
                </c:pt>
                <c:pt idx="241">
                  <c:v>236.99999999999869</c:v>
                </c:pt>
                <c:pt idx="242">
                  <c:v>238.00000000000523</c:v>
                </c:pt>
                <c:pt idx="243">
                  <c:v>239.00000000000219</c:v>
                </c:pt>
                <c:pt idx="244">
                  <c:v>239.99999999999915</c:v>
                </c:pt>
                <c:pt idx="245">
                  <c:v>241.00000000000568</c:v>
                </c:pt>
                <c:pt idx="246">
                  <c:v>242.00000000000267</c:v>
                </c:pt>
                <c:pt idx="247">
                  <c:v>242.9999999999996</c:v>
                </c:pt>
                <c:pt idx="248">
                  <c:v>244.00000000000617</c:v>
                </c:pt>
                <c:pt idx="249">
                  <c:v>245.00000000000313</c:v>
                </c:pt>
                <c:pt idx="250">
                  <c:v>246.00000000000009</c:v>
                </c:pt>
                <c:pt idx="251">
                  <c:v>246.99999999999704</c:v>
                </c:pt>
                <c:pt idx="252">
                  <c:v>248.00000000000358</c:v>
                </c:pt>
                <c:pt idx="253">
                  <c:v>249.00000000000057</c:v>
                </c:pt>
                <c:pt idx="254">
                  <c:v>249.9999999999975</c:v>
                </c:pt>
                <c:pt idx="255">
                  <c:v>251.00000000000406</c:v>
                </c:pt>
                <c:pt idx="256">
                  <c:v>252.00000000000102</c:v>
                </c:pt>
                <c:pt idx="257">
                  <c:v>252.99999999999798</c:v>
                </c:pt>
              </c:numCache>
            </c:numRef>
          </c:xVal>
          <c:yVal>
            <c:numRef>
              <c:f>List1!$F$2:$F$290</c:f>
              <c:numCache>
                <c:formatCode>General</c:formatCode>
                <c:ptCount val="289"/>
                <c:pt idx="4">
                  <c:v>35.9876</c:v>
                </c:pt>
                <c:pt idx="5">
                  <c:v>#N/A</c:v>
                </c:pt>
                <c:pt idx="6">
                  <c:v>36.531700000000001</c:v>
                </c:pt>
                <c:pt idx="7">
                  <c:v>#N/A</c:v>
                </c:pt>
                <c:pt idx="8">
                  <c:v>38.100900000000003</c:v>
                </c:pt>
                <c:pt idx="9">
                  <c:v>#N/A</c:v>
                </c:pt>
                <c:pt idx="10">
                  <c:v>#N/A</c:v>
                </c:pt>
                <c:pt idx="11">
                  <c:v>39.953099999999999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41.099200000000003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41.436799999999998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40.965000000000003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40.0139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38.021999999999998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36.118200000000002</c:v>
                </c:pt>
                <c:pt idx="78">
                  <c:v>#N/A</c:v>
                </c:pt>
                <c:pt idx="79">
                  <c:v>36.585000000000001</c:v>
                </c:pt>
                <c:pt idx="80">
                  <c:v>#N/A</c:v>
                </c:pt>
                <c:pt idx="81">
                  <c:v>#N/A</c:v>
                </c:pt>
                <c:pt idx="82">
                  <c:v>37.9056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38.9527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39.140099999999997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38.9938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37.998699999999999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36.994300000000003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36.066499999999998</c:v>
                </c:pt>
                <c:pt idx="131">
                  <c:v>#N/A</c:v>
                </c:pt>
                <c:pt idx="132">
                  <c:v>36.604999999999997</c:v>
                </c:pt>
                <c:pt idx="133">
                  <c:v>#N/A</c:v>
                </c:pt>
                <c:pt idx="134">
                  <c:v>38.189</c:v>
                </c:pt>
                <c:pt idx="135">
                  <c:v>#N/A</c:v>
                </c:pt>
                <c:pt idx="136">
                  <c:v>#N/A</c:v>
                </c:pt>
                <c:pt idx="137">
                  <c:v>40.042499999999997</c:v>
                </c:pt>
                <c:pt idx="138">
                  <c:v>#N/A</c:v>
                </c:pt>
                <c:pt idx="139">
                  <c:v>#N/A</c:v>
                </c:pt>
                <c:pt idx="140">
                  <c:v>40.992699999999999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41.524900000000002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41.029200000000003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39.978099999999998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38.093299999999999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36.114199999999997</c:v>
                </c:pt>
                <c:pt idx="203">
                  <c:v>#N/A</c:v>
                </c:pt>
                <c:pt idx="204">
                  <c:v>36.602400000000003</c:v>
                </c:pt>
                <c:pt idx="205">
                  <c:v>#N/A</c:v>
                </c:pt>
                <c:pt idx="206">
                  <c:v>#N/A</c:v>
                </c:pt>
                <c:pt idx="207">
                  <c:v>38.099899999999998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39.087499999999999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39.387700000000002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39.082599999999999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38.031500000000001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37.012999999999998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A-4F4B-BF63-DF9DAFEA05AE}"/>
            </c:ext>
          </c:extLst>
        </c:ser>
        <c:ser>
          <c:idx val="1"/>
          <c:order val="1"/>
          <c:tx>
            <c:v>Požadovaná teplota</c:v>
          </c:tx>
          <c:spPr>
            <a:ln w="15875" cap="rnd">
              <a:solidFill>
                <a:schemeClr val="tx1">
                  <a:lumMod val="95000"/>
                  <a:lumOff val="5000"/>
                </a:schemeClr>
              </a:solidFill>
              <a:round/>
              <a:tailEnd type="none" w="sm" len="sm"/>
            </a:ln>
            <a:effectLst/>
          </c:spPr>
          <c:marker>
            <c:symbol val="plus"/>
            <c:size val="5"/>
            <c:spPr>
              <a:noFill/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List1!$B$2:$B$250</c:f>
              <c:numCache>
                <c:formatCode>0</c:formatCode>
                <c:ptCount val="249"/>
                <c:pt idx="4">
                  <c:v>0</c:v>
                </c:pt>
                <c:pt idx="5">
                  <c:v>1.0000000000065512</c:v>
                </c:pt>
                <c:pt idx="6">
                  <c:v>2.0000000000035101</c:v>
                </c:pt>
                <c:pt idx="7">
                  <c:v>3.000000000000469</c:v>
                </c:pt>
                <c:pt idx="8">
                  <c:v>3.9999999999974278</c:v>
                </c:pt>
                <c:pt idx="9">
                  <c:v>5.000000000003979</c:v>
                </c:pt>
                <c:pt idx="10">
                  <c:v>6.0000000000009379</c:v>
                </c:pt>
                <c:pt idx="11">
                  <c:v>6.9999999999978968</c:v>
                </c:pt>
                <c:pt idx="12">
                  <c:v>8.000000000004448</c:v>
                </c:pt>
                <c:pt idx="13">
                  <c:v>9.0000000000014069</c:v>
                </c:pt>
                <c:pt idx="14">
                  <c:v>9.9999999999983658</c:v>
                </c:pt>
                <c:pt idx="15">
                  <c:v>11.000000000004917</c:v>
                </c:pt>
                <c:pt idx="16">
                  <c:v>12.000000000001876</c:v>
                </c:pt>
                <c:pt idx="17">
                  <c:v>12.999999999998835</c:v>
                </c:pt>
                <c:pt idx="18">
                  <c:v>14.000000000005386</c:v>
                </c:pt>
                <c:pt idx="19">
                  <c:v>15.000000000002345</c:v>
                </c:pt>
                <c:pt idx="20">
                  <c:v>15.999999999999304</c:v>
                </c:pt>
                <c:pt idx="21">
                  <c:v>17.000000000005855</c:v>
                </c:pt>
                <c:pt idx="22">
                  <c:v>18.000000000002814</c:v>
                </c:pt>
                <c:pt idx="23">
                  <c:v>18.999999999999773</c:v>
                </c:pt>
                <c:pt idx="24">
                  <c:v>20.000000000006324</c:v>
                </c:pt>
                <c:pt idx="25">
                  <c:v>21.000000000003283</c:v>
                </c:pt>
                <c:pt idx="26">
                  <c:v>22.000000000000242</c:v>
                </c:pt>
                <c:pt idx="27">
                  <c:v>22.9999999999972</c:v>
                </c:pt>
                <c:pt idx="28">
                  <c:v>24.000000000003752</c:v>
                </c:pt>
                <c:pt idx="29">
                  <c:v>25.000000000000711</c:v>
                </c:pt>
                <c:pt idx="30">
                  <c:v>25.999999999997669</c:v>
                </c:pt>
                <c:pt idx="31">
                  <c:v>27.000000000004221</c:v>
                </c:pt>
                <c:pt idx="32">
                  <c:v>28.00000000000118</c:v>
                </c:pt>
                <c:pt idx="33">
                  <c:v>28.999999999998138</c:v>
                </c:pt>
                <c:pt idx="34">
                  <c:v>30.00000000000469</c:v>
                </c:pt>
                <c:pt idx="35">
                  <c:v>31.000000000001648</c:v>
                </c:pt>
                <c:pt idx="36">
                  <c:v>31.999999999998607</c:v>
                </c:pt>
                <c:pt idx="37">
                  <c:v>33.000000000005159</c:v>
                </c:pt>
                <c:pt idx="38">
                  <c:v>34.000000000002117</c:v>
                </c:pt>
                <c:pt idx="39">
                  <c:v>34.999999999999076</c:v>
                </c:pt>
                <c:pt idx="40">
                  <c:v>36.000000000005627</c:v>
                </c:pt>
                <c:pt idx="41">
                  <c:v>37.000000000002586</c:v>
                </c:pt>
                <c:pt idx="42">
                  <c:v>37.999999999999545</c:v>
                </c:pt>
                <c:pt idx="43">
                  <c:v>39.000000000006096</c:v>
                </c:pt>
                <c:pt idx="44">
                  <c:v>40.000000000003055</c:v>
                </c:pt>
                <c:pt idx="45">
                  <c:v>41.000000000000014</c:v>
                </c:pt>
                <c:pt idx="46">
                  <c:v>42.000000000006565</c:v>
                </c:pt>
                <c:pt idx="47">
                  <c:v>43.000000000003524</c:v>
                </c:pt>
                <c:pt idx="48">
                  <c:v>44.000000000000483</c:v>
                </c:pt>
                <c:pt idx="49">
                  <c:v>44.999999999997442</c:v>
                </c:pt>
                <c:pt idx="50">
                  <c:v>46.000000000003993</c:v>
                </c:pt>
                <c:pt idx="51">
                  <c:v>47.000000000000952</c:v>
                </c:pt>
                <c:pt idx="52">
                  <c:v>47.999999999997911</c:v>
                </c:pt>
                <c:pt idx="53">
                  <c:v>49.000000000004462</c:v>
                </c:pt>
                <c:pt idx="54">
                  <c:v>50.000000000001421</c:v>
                </c:pt>
                <c:pt idx="55">
                  <c:v>50.99999999999838</c:v>
                </c:pt>
                <c:pt idx="56">
                  <c:v>52.000000000004931</c:v>
                </c:pt>
                <c:pt idx="57">
                  <c:v>53.00000000000189</c:v>
                </c:pt>
                <c:pt idx="58">
                  <c:v>53.999999999998849</c:v>
                </c:pt>
                <c:pt idx="59">
                  <c:v>55.0000000000054</c:v>
                </c:pt>
                <c:pt idx="60">
                  <c:v>56.000000000002359</c:v>
                </c:pt>
                <c:pt idx="61">
                  <c:v>56.999999999999318</c:v>
                </c:pt>
                <c:pt idx="62">
                  <c:v>58.000000000005869</c:v>
                </c:pt>
                <c:pt idx="63">
                  <c:v>59.000000000002828</c:v>
                </c:pt>
                <c:pt idx="64">
                  <c:v>59.999999999999787</c:v>
                </c:pt>
                <c:pt idx="65">
                  <c:v>61.000000000006338</c:v>
                </c:pt>
                <c:pt idx="66">
                  <c:v>62.000000000003297</c:v>
                </c:pt>
                <c:pt idx="67">
                  <c:v>63.000000000000256</c:v>
                </c:pt>
                <c:pt idx="68">
                  <c:v>63.999999999997215</c:v>
                </c:pt>
                <c:pt idx="69">
                  <c:v>65.000000000003766</c:v>
                </c:pt>
                <c:pt idx="70">
                  <c:v>66.000000000000725</c:v>
                </c:pt>
                <c:pt idx="71">
                  <c:v>66.999999999997684</c:v>
                </c:pt>
                <c:pt idx="72">
                  <c:v>68.000000000004235</c:v>
                </c:pt>
                <c:pt idx="73">
                  <c:v>69.000000000001194</c:v>
                </c:pt>
                <c:pt idx="74">
                  <c:v>69.999999999998153</c:v>
                </c:pt>
                <c:pt idx="75">
                  <c:v>71.000000000004704</c:v>
                </c:pt>
                <c:pt idx="76">
                  <c:v>72.000000000001663</c:v>
                </c:pt>
                <c:pt idx="77">
                  <c:v>72.999999999998622</c:v>
                </c:pt>
                <c:pt idx="78">
                  <c:v>74.000000000005173</c:v>
                </c:pt>
                <c:pt idx="79">
                  <c:v>75.000000000002132</c:v>
                </c:pt>
                <c:pt idx="80">
                  <c:v>75.999999999999091</c:v>
                </c:pt>
                <c:pt idx="81">
                  <c:v>77.000000000005642</c:v>
                </c:pt>
                <c:pt idx="82">
                  <c:v>78.000000000002601</c:v>
                </c:pt>
                <c:pt idx="83">
                  <c:v>78.999999999999559</c:v>
                </c:pt>
                <c:pt idx="84">
                  <c:v>80.000000000006111</c:v>
                </c:pt>
                <c:pt idx="85">
                  <c:v>81.00000000000307</c:v>
                </c:pt>
                <c:pt idx="86">
                  <c:v>82.000000000000028</c:v>
                </c:pt>
                <c:pt idx="87">
                  <c:v>83.00000000000658</c:v>
                </c:pt>
                <c:pt idx="88">
                  <c:v>84.000000000003539</c:v>
                </c:pt>
                <c:pt idx="89">
                  <c:v>85.000000000000497</c:v>
                </c:pt>
                <c:pt idx="90">
                  <c:v>85.999999999997456</c:v>
                </c:pt>
                <c:pt idx="91">
                  <c:v>87.000000000004007</c:v>
                </c:pt>
                <c:pt idx="92">
                  <c:v>88.000000000000966</c:v>
                </c:pt>
                <c:pt idx="93">
                  <c:v>88.999999999997925</c:v>
                </c:pt>
                <c:pt idx="94">
                  <c:v>90.000000000004476</c:v>
                </c:pt>
                <c:pt idx="95">
                  <c:v>91.000000000001435</c:v>
                </c:pt>
                <c:pt idx="96">
                  <c:v>91.999999999998394</c:v>
                </c:pt>
                <c:pt idx="97">
                  <c:v>93.000000000004945</c:v>
                </c:pt>
                <c:pt idx="98">
                  <c:v>94.000000000001904</c:v>
                </c:pt>
                <c:pt idx="99">
                  <c:v>94.999999999998863</c:v>
                </c:pt>
                <c:pt idx="100">
                  <c:v>96.000000000005414</c:v>
                </c:pt>
                <c:pt idx="101">
                  <c:v>97.000000000002373</c:v>
                </c:pt>
                <c:pt idx="102">
                  <c:v>97.999999999999332</c:v>
                </c:pt>
                <c:pt idx="103">
                  <c:v>99.000000000005883</c:v>
                </c:pt>
                <c:pt idx="104">
                  <c:v>100.00000000000284</c:v>
                </c:pt>
                <c:pt idx="105">
                  <c:v>100.9999999999998</c:v>
                </c:pt>
                <c:pt idx="106">
                  <c:v>102.00000000000635</c:v>
                </c:pt>
                <c:pt idx="107">
                  <c:v>103.00000000000331</c:v>
                </c:pt>
                <c:pt idx="108">
                  <c:v>104.00000000000027</c:v>
                </c:pt>
                <c:pt idx="109">
                  <c:v>104.99999999999723</c:v>
                </c:pt>
                <c:pt idx="110">
                  <c:v>106.00000000000378</c:v>
                </c:pt>
                <c:pt idx="111">
                  <c:v>107.00000000000074</c:v>
                </c:pt>
                <c:pt idx="112">
                  <c:v>107.9999999999977</c:v>
                </c:pt>
                <c:pt idx="113">
                  <c:v>109.00000000000425</c:v>
                </c:pt>
                <c:pt idx="114">
                  <c:v>110.00000000000121</c:v>
                </c:pt>
                <c:pt idx="115">
                  <c:v>110.99999999999817</c:v>
                </c:pt>
                <c:pt idx="116">
                  <c:v>112.00000000000472</c:v>
                </c:pt>
                <c:pt idx="117">
                  <c:v>113.00000000000168</c:v>
                </c:pt>
                <c:pt idx="118">
                  <c:v>113.99999999999864</c:v>
                </c:pt>
                <c:pt idx="119">
                  <c:v>115.00000000000519</c:v>
                </c:pt>
                <c:pt idx="120">
                  <c:v>116.00000000000215</c:v>
                </c:pt>
                <c:pt idx="121">
                  <c:v>116.9999999999991</c:v>
                </c:pt>
                <c:pt idx="122">
                  <c:v>118.00000000000566</c:v>
                </c:pt>
                <c:pt idx="123">
                  <c:v>119.00000000000261</c:v>
                </c:pt>
                <c:pt idx="124">
                  <c:v>119.99999999999957</c:v>
                </c:pt>
                <c:pt idx="125">
                  <c:v>121.00000000000612</c:v>
                </c:pt>
                <c:pt idx="126">
                  <c:v>122.00000000000308</c:v>
                </c:pt>
                <c:pt idx="127">
                  <c:v>123.00000000000004</c:v>
                </c:pt>
                <c:pt idx="128">
                  <c:v>123.999999999997</c:v>
                </c:pt>
                <c:pt idx="129">
                  <c:v>125.00000000000355</c:v>
                </c:pt>
                <c:pt idx="130">
                  <c:v>126.00000000000051</c:v>
                </c:pt>
                <c:pt idx="131">
                  <c:v>126.99999999999747</c:v>
                </c:pt>
                <c:pt idx="132">
                  <c:v>128.00000000000404</c:v>
                </c:pt>
                <c:pt idx="133">
                  <c:v>129.00000000000097</c:v>
                </c:pt>
                <c:pt idx="134">
                  <c:v>129.99999999999795</c:v>
                </c:pt>
                <c:pt idx="135">
                  <c:v>131.00000000000449</c:v>
                </c:pt>
                <c:pt idx="136">
                  <c:v>132.00000000000145</c:v>
                </c:pt>
                <c:pt idx="137">
                  <c:v>132.99999999999841</c:v>
                </c:pt>
                <c:pt idx="138">
                  <c:v>134.00000000000495</c:v>
                </c:pt>
                <c:pt idx="139">
                  <c:v>135.00000000000193</c:v>
                </c:pt>
                <c:pt idx="140">
                  <c:v>135.99999999999886</c:v>
                </c:pt>
                <c:pt idx="141">
                  <c:v>137.00000000000543</c:v>
                </c:pt>
                <c:pt idx="142">
                  <c:v>138.00000000000239</c:v>
                </c:pt>
                <c:pt idx="143">
                  <c:v>138.99999999999935</c:v>
                </c:pt>
                <c:pt idx="144">
                  <c:v>140.00000000000591</c:v>
                </c:pt>
                <c:pt idx="145">
                  <c:v>141.00000000000284</c:v>
                </c:pt>
                <c:pt idx="146">
                  <c:v>141.99999999999983</c:v>
                </c:pt>
                <c:pt idx="147">
                  <c:v>143.00000000000637</c:v>
                </c:pt>
                <c:pt idx="148">
                  <c:v>144.00000000000333</c:v>
                </c:pt>
                <c:pt idx="149">
                  <c:v>145.00000000000028</c:v>
                </c:pt>
                <c:pt idx="150">
                  <c:v>145.99999999999724</c:v>
                </c:pt>
                <c:pt idx="151">
                  <c:v>147.00000000000381</c:v>
                </c:pt>
                <c:pt idx="152">
                  <c:v>148.00000000000074</c:v>
                </c:pt>
                <c:pt idx="153">
                  <c:v>148.99999999999773</c:v>
                </c:pt>
                <c:pt idx="154">
                  <c:v>150.00000000000426</c:v>
                </c:pt>
                <c:pt idx="155">
                  <c:v>151.00000000000122</c:v>
                </c:pt>
                <c:pt idx="156">
                  <c:v>151.99999999999818</c:v>
                </c:pt>
                <c:pt idx="157">
                  <c:v>153.00000000000472</c:v>
                </c:pt>
                <c:pt idx="158">
                  <c:v>154.00000000000171</c:v>
                </c:pt>
                <c:pt idx="159">
                  <c:v>154.99999999999864</c:v>
                </c:pt>
                <c:pt idx="160">
                  <c:v>156.0000000000052</c:v>
                </c:pt>
                <c:pt idx="161">
                  <c:v>157.00000000000216</c:v>
                </c:pt>
                <c:pt idx="162">
                  <c:v>157.99999999999912</c:v>
                </c:pt>
                <c:pt idx="163">
                  <c:v>159.00000000000568</c:v>
                </c:pt>
                <c:pt idx="164">
                  <c:v>160.00000000000261</c:v>
                </c:pt>
                <c:pt idx="165">
                  <c:v>160.9999999999996</c:v>
                </c:pt>
                <c:pt idx="166">
                  <c:v>162.00000000000614</c:v>
                </c:pt>
                <c:pt idx="167">
                  <c:v>163.0000000000031</c:v>
                </c:pt>
                <c:pt idx="168">
                  <c:v>164.00000000000006</c:v>
                </c:pt>
                <c:pt idx="169">
                  <c:v>164.99999999999702</c:v>
                </c:pt>
                <c:pt idx="170">
                  <c:v>166.00000000000358</c:v>
                </c:pt>
                <c:pt idx="171">
                  <c:v>167.00000000000051</c:v>
                </c:pt>
                <c:pt idx="172">
                  <c:v>167.9999999999975</c:v>
                </c:pt>
                <c:pt idx="173">
                  <c:v>169.00000000000404</c:v>
                </c:pt>
                <c:pt idx="174">
                  <c:v>170.00000000000099</c:v>
                </c:pt>
                <c:pt idx="175">
                  <c:v>170.99999999999795</c:v>
                </c:pt>
                <c:pt idx="176">
                  <c:v>172.00000000000449</c:v>
                </c:pt>
                <c:pt idx="177">
                  <c:v>173.00000000000148</c:v>
                </c:pt>
                <c:pt idx="178">
                  <c:v>173.99999999999841</c:v>
                </c:pt>
                <c:pt idx="179">
                  <c:v>175.00000000000497</c:v>
                </c:pt>
                <c:pt idx="180">
                  <c:v>176.00000000000193</c:v>
                </c:pt>
                <c:pt idx="181">
                  <c:v>176.99999999999889</c:v>
                </c:pt>
                <c:pt idx="182">
                  <c:v>178.00000000000546</c:v>
                </c:pt>
                <c:pt idx="183">
                  <c:v>179.00000000000239</c:v>
                </c:pt>
                <c:pt idx="184">
                  <c:v>179.99999999999937</c:v>
                </c:pt>
                <c:pt idx="185">
                  <c:v>181.00000000000591</c:v>
                </c:pt>
                <c:pt idx="186">
                  <c:v>182.00000000000287</c:v>
                </c:pt>
                <c:pt idx="187">
                  <c:v>182.99999999999983</c:v>
                </c:pt>
                <c:pt idx="188">
                  <c:v>184.00000000000637</c:v>
                </c:pt>
                <c:pt idx="189">
                  <c:v>185.00000000000335</c:v>
                </c:pt>
                <c:pt idx="190">
                  <c:v>186.00000000000028</c:v>
                </c:pt>
                <c:pt idx="191">
                  <c:v>186.99999999999727</c:v>
                </c:pt>
                <c:pt idx="192">
                  <c:v>188.00000000000381</c:v>
                </c:pt>
                <c:pt idx="193">
                  <c:v>189.00000000000077</c:v>
                </c:pt>
                <c:pt idx="194">
                  <c:v>189.99999999999773</c:v>
                </c:pt>
                <c:pt idx="195">
                  <c:v>191.00000000000426</c:v>
                </c:pt>
                <c:pt idx="196">
                  <c:v>192.00000000000125</c:v>
                </c:pt>
                <c:pt idx="197">
                  <c:v>192.99999999999818</c:v>
                </c:pt>
                <c:pt idx="198">
                  <c:v>194.00000000000475</c:v>
                </c:pt>
                <c:pt idx="199">
                  <c:v>195.00000000000171</c:v>
                </c:pt>
                <c:pt idx="200">
                  <c:v>195.99999999999866</c:v>
                </c:pt>
                <c:pt idx="201">
                  <c:v>197.00000000000523</c:v>
                </c:pt>
                <c:pt idx="202">
                  <c:v>198.00000000000216</c:v>
                </c:pt>
                <c:pt idx="203">
                  <c:v>198.99999999999915</c:v>
                </c:pt>
                <c:pt idx="204">
                  <c:v>200.00000000000568</c:v>
                </c:pt>
                <c:pt idx="205">
                  <c:v>201.00000000000264</c:v>
                </c:pt>
                <c:pt idx="206">
                  <c:v>201.9999999999996</c:v>
                </c:pt>
                <c:pt idx="207">
                  <c:v>203.00000000000614</c:v>
                </c:pt>
                <c:pt idx="208">
                  <c:v>204.00000000000313</c:v>
                </c:pt>
                <c:pt idx="209">
                  <c:v>205.00000000000006</c:v>
                </c:pt>
                <c:pt idx="210">
                  <c:v>205.99999999999704</c:v>
                </c:pt>
                <c:pt idx="211">
                  <c:v>207.00000000000358</c:v>
                </c:pt>
                <c:pt idx="212">
                  <c:v>208.00000000000054</c:v>
                </c:pt>
                <c:pt idx="213">
                  <c:v>208.9999999999975</c:v>
                </c:pt>
                <c:pt idx="214">
                  <c:v>210.00000000000404</c:v>
                </c:pt>
                <c:pt idx="215">
                  <c:v>211.00000000000102</c:v>
                </c:pt>
                <c:pt idx="216">
                  <c:v>211.99999999999795</c:v>
                </c:pt>
                <c:pt idx="217">
                  <c:v>213.00000000000452</c:v>
                </c:pt>
                <c:pt idx="218">
                  <c:v>214.00000000000148</c:v>
                </c:pt>
                <c:pt idx="219">
                  <c:v>214.99999999999844</c:v>
                </c:pt>
                <c:pt idx="220">
                  <c:v>216.000000000005</c:v>
                </c:pt>
                <c:pt idx="221">
                  <c:v>217.00000000000193</c:v>
                </c:pt>
                <c:pt idx="222">
                  <c:v>217.99999999999892</c:v>
                </c:pt>
                <c:pt idx="223">
                  <c:v>219.00000000000546</c:v>
                </c:pt>
                <c:pt idx="224">
                  <c:v>220.00000000000242</c:v>
                </c:pt>
                <c:pt idx="225">
                  <c:v>220.99999999999937</c:v>
                </c:pt>
                <c:pt idx="226">
                  <c:v>222.00000000000591</c:v>
                </c:pt>
                <c:pt idx="227">
                  <c:v>223.0000000000029</c:v>
                </c:pt>
                <c:pt idx="228">
                  <c:v>223.99999999999983</c:v>
                </c:pt>
                <c:pt idx="229">
                  <c:v>225.00000000000639</c:v>
                </c:pt>
                <c:pt idx="230">
                  <c:v>226.00000000000335</c:v>
                </c:pt>
                <c:pt idx="231">
                  <c:v>227.00000000000031</c:v>
                </c:pt>
                <c:pt idx="232">
                  <c:v>227.99999999999727</c:v>
                </c:pt>
                <c:pt idx="233">
                  <c:v>229.00000000000381</c:v>
                </c:pt>
                <c:pt idx="234">
                  <c:v>230.0000000000008</c:v>
                </c:pt>
                <c:pt idx="235">
                  <c:v>230.99999999999773</c:v>
                </c:pt>
                <c:pt idx="236">
                  <c:v>232.00000000000429</c:v>
                </c:pt>
                <c:pt idx="237">
                  <c:v>233.00000000000125</c:v>
                </c:pt>
                <c:pt idx="238">
                  <c:v>233.99999999999821</c:v>
                </c:pt>
                <c:pt idx="239">
                  <c:v>235.00000000000477</c:v>
                </c:pt>
                <c:pt idx="240">
                  <c:v>236.00000000000171</c:v>
                </c:pt>
                <c:pt idx="241">
                  <c:v>236.99999999999869</c:v>
                </c:pt>
                <c:pt idx="242">
                  <c:v>238.00000000000523</c:v>
                </c:pt>
                <c:pt idx="243">
                  <c:v>239.00000000000219</c:v>
                </c:pt>
                <c:pt idx="244">
                  <c:v>239.99999999999915</c:v>
                </c:pt>
                <c:pt idx="245">
                  <c:v>241.00000000000568</c:v>
                </c:pt>
                <c:pt idx="246">
                  <c:v>242.00000000000267</c:v>
                </c:pt>
                <c:pt idx="247">
                  <c:v>242.9999999999996</c:v>
                </c:pt>
                <c:pt idx="248">
                  <c:v>244.00000000000617</c:v>
                </c:pt>
              </c:numCache>
            </c:numRef>
          </c:xVal>
          <c:yVal>
            <c:numRef>
              <c:f>List1!$J$2:$J$250</c:f>
              <c:numCache>
                <c:formatCode>0</c:formatCode>
                <c:ptCount val="249"/>
                <c:pt idx="4">
                  <c:v>36.176499999999997</c:v>
                </c:pt>
                <c:pt idx="5">
                  <c:v>#N/A</c:v>
                </c:pt>
                <c:pt idx="6">
                  <c:v>36.176499999999997</c:v>
                </c:pt>
                <c:pt idx="7">
                  <c:v>#N/A</c:v>
                </c:pt>
                <c:pt idx="8">
                  <c:v>36.176499999999997</c:v>
                </c:pt>
                <c:pt idx="9">
                  <c:v>#N/A</c:v>
                </c:pt>
                <c:pt idx="10">
                  <c:v>#N/A</c:v>
                </c:pt>
                <c:pt idx="11">
                  <c:v>36.176499999999997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36.176499999999997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36.176499999999997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36.176499999999997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36.176499999999997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36.176499999999997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36.176499999999997</c:v>
                </c:pt>
                <c:pt idx="78">
                  <c:v>#N/A</c:v>
                </c:pt>
                <c:pt idx="79">
                  <c:v>36.176499999999997</c:v>
                </c:pt>
                <c:pt idx="80">
                  <c:v>#N/A</c:v>
                </c:pt>
                <c:pt idx="81">
                  <c:v>#N/A</c:v>
                </c:pt>
                <c:pt idx="82">
                  <c:v>36.176499999999997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36.176499999999997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36.176499999999997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36.176499999999997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36.176499999999997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36.176499999999997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36.176499999999997</c:v>
                </c:pt>
                <c:pt idx="131">
                  <c:v>#N/A</c:v>
                </c:pt>
                <c:pt idx="132">
                  <c:v>36.176499999999997</c:v>
                </c:pt>
                <c:pt idx="133">
                  <c:v>#N/A</c:v>
                </c:pt>
                <c:pt idx="134">
                  <c:v>36.176499999999997</c:v>
                </c:pt>
                <c:pt idx="135">
                  <c:v>#N/A</c:v>
                </c:pt>
                <c:pt idx="136">
                  <c:v>#N/A</c:v>
                </c:pt>
                <c:pt idx="137">
                  <c:v>36.176499999999997</c:v>
                </c:pt>
                <c:pt idx="138">
                  <c:v>#N/A</c:v>
                </c:pt>
                <c:pt idx="139">
                  <c:v>#N/A</c:v>
                </c:pt>
                <c:pt idx="140">
                  <c:v>36.176499999999997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36.176499999999997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36.176499999999997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36.176499999999997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36.176499999999997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36.176499999999997</c:v>
                </c:pt>
                <c:pt idx="203">
                  <c:v>#N/A</c:v>
                </c:pt>
                <c:pt idx="204">
                  <c:v>36.176499999999997</c:v>
                </c:pt>
                <c:pt idx="205">
                  <c:v>#N/A</c:v>
                </c:pt>
                <c:pt idx="206">
                  <c:v>#N/A</c:v>
                </c:pt>
                <c:pt idx="207">
                  <c:v>36.176499999999997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36.176499999999997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36.176499999999997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36.176499999999997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36.176499999999997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36.176499999999997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A-4F4B-BF63-DF9DAFEA0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498704"/>
        <c:axId val="1241499184"/>
      </c:scatterChart>
      <c:valAx>
        <c:axId val="1241498704"/>
        <c:scaling>
          <c:orientation val="minMax"/>
          <c:max val="240"/>
          <c:min val="0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50" b="1">
                    <a:effectLst/>
                  </a:rPr>
                  <a:t>t</a:t>
                </a:r>
                <a:r>
                  <a:rPr lang="cs-CZ" sz="1050" b="1" i="0">
                    <a:effectLst/>
                  </a:rPr>
                  <a:t> [𝑠]</a:t>
                </a:r>
                <a:endParaRPr lang="cs-CZ" sz="105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0.48676081531346993"/>
              <c:y val="0.89586309260698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1499184"/>
        <c:crosses val="autoZero"/>
        <c:crossBetween val="midCat"/>
        <c:majorUnit val="20"/>
        <c:minorUnit val="5"/>
      </c:valAx>
      <c:valAx>
        <c:axId val="1241499184"/>
        <c:scaling>
          <c:orientation val="minMax"/>
          <c:max val="45"/>
          <c:min val="3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baseline="0">
                    <a:effectLst/>
                  </a:rPr>
                  <a:t>ϑ [°𝐂]</a:t>
                </a:r>
                <a:endParaRPr lang="cs-CZ" b="1"/>
              </a:p>
            </c:rich>
          </c:tx>
          <c:layout>
            <c:manualLayout>
              <c:xMode val="edge"/>
              <c:yMode val="edge"/>
              <c:x val="0"/>
              <c:y val="0.41802060975796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  <a:alpha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1498704"/>
        <c:crosses val="autoZero"/>
        <c:crossBetween val="midCat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</c:legendEntry>
      <c:layout>
        <c:manualLayout>
          <c:xMode val="edge"/>
          <c:yMode val="edge"/>
          <c:x val="5.9211911593186589E-2"/>
          <c:y val="0.89409664637773834"/>
          <c:w val="0.92534138124728749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anchor="ctr" anchorCtr="1"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558247</xdr:colOff>
      <xdr:row>6</xdr:row>
      <xdr:rowOff>140240</xdr:rowOff>
    </xdr:from>
    <xdr:to>
      <xdr:col>21</xdr:col>
      <xdr:colOff>586349</xdr:colOff>
      <xdr:row>22</xdr:row>
      <xdr:rowOff>101106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CB31D09-B16E-5FC3-C873-B3511D417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0.6415</cdr:x>
      <cdr:y>0.36165</cdr:y>
    </cdr:from>
    <cdr:to>
      <cdr:x>0.64203</cdr:x>
      <cdr:y>0.53972</cdr:y>
    </cdr:to>
    <cdr:cxnSp macro="">
      <cdr:nvCxnSpPr>
        <cdr:cNvPr id="3" name="Přímá spojnice se šipkou 2">
          <a:extLst xmlns:a="http://schemas.openxmlformats.org/drawingml/2006/main">
            <a:ext uri="{FF2B5EF4-FFF2-40B4-BE49-F238E27FC236}">
              <a16:creationId xmlns:a16="http://schemas.microsoft.com/office/drawing/2014/main" id="{69696E5F-D1EC-447B-CB62-AD40F107B522}"/>
            </a:ext>
          </a:extLst>
        </cdr:cNvPr>
        <cdr:cNvCxnSpPr/>
      </cdr:nvCxnSpPr>
      <cdr:spPr>
        <a:xfrm xmlns:a="http://schemas.openxmlformats.org/drawingml/2006/main" flipH="1" flipV="1">
          <a:off x="3153218" y="1088157"/>
          <a:ext cx="2649" cy="5358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headEnd type="arrow" w="med" len="med"/>
          <a:tailEnd type="arrow" w="med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0.53156</cdr:x>
      <cdr:y>0.36137</cdr:y>
    </cdr:from>
    <cdr:to>
      <cdr:x>0.64951</cdr:x>
      <cdr:y>0.36165</cdr:y>
    </cdr:to>
    <cdr:cxnSp macro="">
      <cdr:nvCxnSpPr>
        <cdr:cNvPr id="5" name="Přímá spojnice 4">
          <a:extLst xmlns:a="http://schemas.openxmlformats.org/drawingml/2006/main">
            <a:ext uri="{FF2B5EF4-FFF2-40B4-BE49-F238E27FC236}">
              <a16:creationId xmlns:a16="http://schemas.microsoft.com/office/drawing/2014/main" id="{DB3233C1-AA2F-DA9F-3232-D09FA10B0873}"/>
            </a:ext>
          </a:extLst>
        </cdr:cNvPr>
        <cdr:cNvCxnSpPr/>
      </cdr:nvCxnSpPr>
      <cdr:spPr>
        <a:xfrm xmlns:a="http://schemas.openxmlformats.org/drawingml/2006/main">
          <a:off x="2612860" y="1087301"/>
          <a:ext cx="579771" cy="85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0.4544</cdr:x>
      <cdr:y>0.67167</cdr:y>
    </cdr:from>
    <cdr:to>
      <cdr:x>0.6415</cdr:x>
      <cdr:y>0.67167</cdr:y>
    </cdr:to>
    <cdr:cxnSp macro="">
      <cdr:nvCxnSpPr>
        <cdr:cNvPr id="6" name="Přímá spojnice se šipkou 5">
          <a:extLst xmlns:a="http://schemas.openxmlformats.org/drawingml/2006/main">
            <a:ext uri="{FF2B5EF4-FFF2-40B4-BE49-F238E27FC236}">
              <a16:creationId xmlns:a16="http://schemas.microsoft.com/office/drawing/2014/main" id="{F0EC348E-7402-F4AD-B127-0A83F84B3E72}"/>
            </a:ext>
          </a:extLst>
        </cdr:cNvPr>
        <cdr:cNvCxnSpPr/>
      </cdr:nvCxnSpPr>
      <cdr:spPr>
        <a:xfrm xmlns:a="http://schemas.openxmlformats.org/drawingml/2006/main" flipH="1">
          <a:off x="2233562" y="2020950"/>
          <a:ext cx="919656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headEnd type="arrow" w="med" len="med"/>
          <a:tailEnd type="arrow" w="med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0.45574</cdr:x>
      <cdr:y>0.58452</cdr:y>
    </cdr:from>
    <cdr:to>
      <cdr:x>0.45669</cdr:x>
      <cdr:y>0.69131</cdr:y>
    </cdr:to>
    <cdr:cxnSp macro="">
      <cdr:nvCxnSpPr>
        <cdr:cNvPr id="12" name="Přímá spojnice 11">
          <a:extLst xmlns:a="http://schemas.openxmlformats.org/drawingml/2006/main">
            <a:ext uri="{FF2B5EF4-FFF2-40B4-BE49-F238E27FC236}">
              <a16:creationId xmlns:a16="http://schemas.microsoft.com/office/drawing/2014/main" id="{5A8FD62E-C407-A7C4-D37F-8322A1213AF3}"/>
            </a:ext>
          </a:extLst>
        </cdr:cNvPr>
        <cdr:cNvCxnSpPr/>
      </cdr:nvCxnSpPr>
      <cdr:spPr>
        <a:xfrm xmlns:a="http://schemas.openxmlformats.org/drawingml/2006/main" flipH="1">
          <a:off x="2240131" y="1758730"/>
          <a:ext cx="4704" cy="32133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0.64112</cdr:x>
      <cdr:y>0.5887</cdr:y>
    </cdr:from>
    <cdr:to>
      <cdr:x>0.6415</cdr:x>
      <cdr:y>0.69568</cdr:y>
    </cdr:to>
    <cdr:cxnSp macro="">
      <cdr:nvCxnSpPr>
        <cdr:cNvPr id="20" name="Přímá spojnice 19">
          <a:extLst xmlns:a="http://schemas.openxmlformats.org/drawingml/2006/main">
            <a:ext uri="{FF2B5EF4-FFF2-40B4-BE49-F238E27FC236}">
              <a16:creationId xmlns:a16="http://schemas.microsoft.com/office/drawing/2014/main" id="{2EEBA62A-5E7F-FF52-9456-DFBE97C7370D}"/>
            </a:ext>
          </a:extLst>
        </cdr:cNvPr>
        <cdr:cNvCxnSpPr/>
      </cdr:nvCxnSpPr>
      <cdr:spPr>
        <a:xfrm xmlns:a="http://schemas.openxmlformats.org/drawingml/2006/main" flipH="1">
          <a:off x="3151352" y="1771329"/>
          <a:ext cx="1866" cy="32187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0.59205</cdr:x>
      <cdr:y>0.29179</cdr:y>
    </cdr:from>
    <cdr:to>
      <cdr:x>0.67758</cdr:x>
      <cdr:y>0.37475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8" name="TextovéPole 27">
              <a:extLst xmlns:a="http://schemas.openxmlformats.org/drawingml/2006/main">
                <a:ext uri="{FF2B5EF4-FFF2-40B4-BE49-F238E27FC236}">
                  <a16:creationId xmlns:a16="http://schemas.microsoft.com/office/drawing/2014/main" id="{041CB322-21B4-3645-7854-BDBC8A00BB95}"/>
                </a:ext>
              </a:extLst>
            </cdr:cNvPr>
            <cdr:cNvSpPr txBox="1"/>
          </cdr:nvSpPr>
          <cdr:spPr>
            <a:xfrm xmlns:a="http://schemas.openxmlformats.org/drawingml/2006/main">
              <a:off x="2910166" y="877949"/>
              <a:ext cx="420414" cy="24962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𝛝</m:t>
                        </m:r>
                      </m:e>
                      <m:sub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𝐌𝐀𝐗</m:t>
                        </m:r>
                      </m:sub>
                    </m:sSub>
                  </m:oMath>
                </m:oMathPara>
              </a14:m>
              <a:endParaRPr lang="cs-CZ" sz="8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8" name="TextovéPole 27">
              <a:extLst xmlns:a="http://schemas.openxmlformats.org/drawingml/2006/main">
                <a:ext uri="{FF2B5EF4-FFF2-40B4-BE49-F238E27FC236}">
                  <a16:creationId xmlns:a16="http://schemas.microsoft.com/office/drawing/2014/main" id="{041CB322-21B4-3645-7854-BDBC8A00BB95}"/>
                </a:ext>
              </a:extLst>
            </cdr:cNvPr>
            <cdr:cNvSpPr txBox="1"/>
          </cdr:nvSpPr>
          <cdr:spPr>
            <a:xfrm xmlns:a="http://schemas.openxmlformats.org/drawingml/2006/main">
              <a:off x="2910166" y="877949"/>
              <a:ext cx="420414" cy="24962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:r>
                <a:rPr lang="cs-CZ" sz="800" b="1" i="0">
                  <a:effectLst/>
                  <a:latin typeface="+mn-lt"/>
                  <a:ea typeface="+mn-ea"/>
                  <a:cs typeface="+mn-cs"/>
                </a:rPr>
                <a:t>𝛝_𝐌𝐀𝐗</a:t>
              </a:r>
              <a:endParaRPr lang="cs-CZ" sz="8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0.59434</cdr:x>
      <cdr:y>0.40313</cdr:y>
    </cdr:from>
    <cdr:to>
      <cdr:x>0.67987</cdr:x>
      <cdr:y>0.48627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9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D083AFFE-0524-8EB4-8FC8-403978103A40}"/>
                </a:ext>
              </a:extLst>
            </cdr:cNvPr>
            <cdr:cNvSpPr txBox="1"/>
          </cdr:nvSpPr>
          <cdr:spPr>
            <a:xfrm xmlns:a="http://schemas.openxmlformats.org/drawingml/2006/main">
              <a:off x="2921439" y="1212967"/>
              <a:ext cx="420414" cy="25016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="vert270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cs-CZ" sz="800" b="1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𝚫𝛝</m:t>
                    </m:r>
                  </m:oMath>
                </m:oMathPara>
              </a14:m>
              <a:endParaRPr lang="cs-CZ" sz="4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9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D083AFFE-0524-8EB4-8FC8-403978103A40}"/>
                </a:ext>
              </a:extLst>
            </cdr:cNvPr>
            <cdr:cNvSpPr txBox="1"/>
          </cdr:nvSpPr>
          <cdr:spPr>
            <a:xfrm xmlns:a="http://schemas.openxmlformats.org/drawingml/2006/main">
              <a:off x="2921439" y="1212967"/>
              <a:ext cx="420414" cy="25016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="vert270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+mn-lt"/>
                  <a:ea typeface="+mn-ea"/>
                  <a:cs typeface="+mn-cs"/>
                </a:rPr>
                <a:t>𝚫𝛝</a:t>
              </a:r>
              <a:endParaRPr lang="cs-CZ" sz="4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0.61343</cdr:x>
      <cdr:y>0.67167</cdr:y>
    </cdr:from>
    <cdr:to>
      <cdr:x>0.66822</cdr:x>
      <cdr:y>0.75548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3" name="TextovéPole 32">
              <a:extLst xmlns:a="http://schemas.openxmlformats.org/drawingml/2006/main">
                <a:ext uri="{FF2B5EF4-FFF2-40B4-BE49-F238E27FC236}">
                  <a16:creationId xmlns:a16="http://schemas.microsoft.com/office/drawing/2014/main" id="{62EABE7B-E55E-91E3-8169-59D6867CAFC3}"/>
                </a:ext>
              </a:extLst>
            </cdr:cNvPr>
            <cdr:cNvSpPr txBox="1"/>
          </cdr:nvSpPr>
          <cdr:spPr>
            <a:xfrm xmlns:a="http://schemas.openxmlformats.org/drawingml/2006/main">
              <a:off x="3015269" y="2020950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𝐭</m:t>
                        </m:r>
                      </m:e>
                      <m:sub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𝐁</m:t>
                        </m:r>
                      </m:sub>
                    </m:sSub>
                  </m:oMath>
                </m:oMathPara>
              </a14:m>
              <a:endParaRPr lang="cs-CZ" sz="1100" b="1" i="0" kern="1200"/>
            </a:p>
          </cdr:txBody>
        </cdr:sp>
      </mc:Choice>
      <mc:Fallback xmlns="">
        <cdr:sp macro="" textlink="">
          <cdr:nvSpPr>
            <cdr:cNvPr id="33" name="TextovéPole 32">
              <a:extLst xmlns:a="http://schemas.openxmlformats.org/drawingml/2006/main">
                <a:ext uri="{FF2B5EF4-FFF2-40B4-BE49-F238E27FC236}">
                  <a16:creationId xmlns:a16="http://schemas.microsoft.com/office/drawing/2014/main" id="{62EABE7B-E55E-91E3-8169-59D6867CAFC3}"/>
                </a:ext>
              </a:extLst>
            </cdr:cNvPr>
            <cdr:cNvSpPr txBox="1"/>
          </cdr:nvSpPr>
          <cdr:spPr>
            <a:xfrm xmlns:a="http://schemas.openxmlformats.org/drawingml/2006/main">
              <a:off x="3015269" y="2020950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cs-CZ" sz="800" b="1" i="0">
                  <a:effectLst/>
                  <a:latin typeface="+mn-lt"/>
                  <a:ea typeface="+mn-ea"/>
                  <a:cs typeface="+mn-cs"/>
                </a:rPr>
                <a:t>𝐭_𝐁</a:t>
              </a:r>
              <a:endParaRPr lang="cs-CZ" sz="1100" b="1" i="0" kern="1200"/>
            </a:p>
          </cdr:txBody>
        </cdr:sp>
      </mc:Fallback>
    </mc:AlternateContent>
  </cdr:relSizeAnchor>
  <cdr:relSizeAnchor xmlns:cdr="http://schemas.openxmlformats.org/drawingml/2006/chartDrawing">
    <cdr:from>
      <cdr:x>0.43264</cdr:x>
      <cdr:y>0.67403</cdr:y>
    </cdr:from>
    <cdr:to>
      <cdr:x>0.48743</cdr:x>
      <cdr:y>0.75784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4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2126593" y="2028059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𝐭</m:t>
                        </m:r>
                      </m:e>
                      <m:sub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𝐀</m:t>
                        </m:r>
                      </m:sub>
                    </m:sSub>
                  </m:oMath>
                </m:oMathPara>
              </a14:m>
              <a:endParaRPr lang="cs-CZ" sz="1100" b="1" i="0" kern="1200"/>
            </a:p>
          </cdr:txBody>
        </cdr:sp>
      </mc:Choice>
      <mc:Fallback xmlns="">
        <cdr:sp macro="" textlink="">
          <cdr:nvSpPr>
            <cdr:cNvPr id="34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2126593" y="2028059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𝐭_𝐀</a:t>
              </a:r>
              <a:endParaRPr lang="cs-CZ" sz="1100" b="1" i="0" kern="1200"/>
            </a:p>
          </cdr:txBody>
        </cdr:sp>
      </mc:Fallback>
    </mc:AlternateContent>
  </cdr:relSizeAnchor>
  <cdr:relSizeAnchor xmlns:cdr="http://schemas.openxmlformats.org/drawingml/2006/chartDrawing">
    <cdr:from>
      <cdr:x>0.35646</cdr:x>
      <cdr:y>0.34436</cdr:y>
    </cdr:from>
    <cdr:to>
      <cdr:x>0.41126</cdr:x>
      <cdr:y>0.42818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5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1752162" y="1036145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𝛝</m:t>
                        </m:r>
                      </m:e>
                      <m:sub>
                        <m: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sub>
                    </m:sSub>
                  </m:oMath>
                </m:oMathPara>
              </a14:m>
              <a:endParaRPr lang="cs-CZ" sz="800" b="1" i="0" kern="1200"/>
            </a:p>
          </cdr:txBody>
        </cdr:sp>
      </mc:Choice>
      <mc:Fallback xmlns="">
        <cdr:sp macro="" textlink="">
          <cdr:nvSpPr>
            <cdr:cNvPr id="35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1752162" y="1036145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+mn-lt"/>
                  <a:ea typeface="+mn-ea"/>
                  <a:cs typeface="+mn-cs"/>
                </a:rPr>
                <a:t>𝛝</a:t>
              </a:r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_𝑺</a:t>
              </a:r>
              <a:endParaRPr lang="cs-CZ" sz="800" b="1" i="0" kern="1200"/>
            </a:p>
          </cdr:txBody>
        </cdr:sp>
      </mc:Fallback>
    </mc:AlternateContent>
  </cdr:relSizeAnchor>
  <cdr:relSizeAnchor xmlns:cdr="http://schemas.openxmlformats.org/drawingml/2006/chartDrawing">
    <cdr:from>
      <cdr:x>0.35379</cdr:x>
      <cdr:y>0.47754</cdr:y>
    </cdr:from>
    <cdr:to>
      <cdr:x>0.40858</cdr:x>
      <cdr:y>0.56136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6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38E9ACDD-3480-385F-5B76-642A2225BAD1}"/>
                </a:ext>
              </a:extLst>
            </cdr:cNvPr>
            <cdr:cNvSpPr txBox="1"/>
          </cdr:nvSpPr>
          <cdr:spPr>
            <a:xfrm xmlns:a="http://schemas.openxmlformats.org/drawingml/2006/main">
              <a:off x="1739024" y="1436852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𝛝</m:t>
                        </m:r>
                      </m:e>
                      <m:sub>
                        <m: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</m:t>
                        </m:r>
                      </m:sub>
                    </m:sSub>
                  </m:oMath>
                </m:oMathPara>
              </a14:m>
              <a:endParaRPr lang="cs-CZ" sz="800" b="1" i="0" kern="1200"/>
            </a:p>
          </cdr:txBody>
        </cdr:sp>
      </mc:Choice>
      <mc:Fallback xmlns="">
        <cdr:sp macro="" textlink="">
          <cdr:nvSpPr>
            <cdr:cNvPr id="36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38E9ACDD-3480-385F-5B76-642A2225BAD1}"/>
                </a:ext>
              </a:extLst>
            </cdr:cNvPr>
            <cdr:cNvSpPr txBox="1"/>
          </cdr:nvSpPr>
          <cdr:spPr>
            <a:xfrm xmlns:a="http://schemas.openxmlformats.org/drawingml/2006/main">
              <a:off x="1739024" y="1436852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𝛝_𝑷</a:t>
              </a:r>
              <a:endParaRPr lang="cs-CZ" sz="800" b="1" i="0" kern="1200"/>
            </a:p>
          </cdr:txBody>
        </cdr:sp>
      </mc:Fallback>
    </mc:AlternateContent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1167846</xdr:colOff>
      <xdr:row>174</xdr:row>
      <xdr:rowOff>28575</xdr:rowOff>
    </xdr:from>
    <xdr:to>
      <xdr:col>20</xdr:col>
      <xdr:colOff>428624</xdr:colOff>
      <xdr:row>196</xdr:row>
      <xdr:rowOff>15381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04BC28C-E554-4C16-B6E2-C47567F81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0.6415</cdr:x>
      <cdr:y>0.36165</cdr:y>
    </cdr:from>
    <cdr:to>
      <cdr:x>0.64203</cdr:x>
      <cdr:y>0.53972</cdr:y>
    </cdr:to>
    <cdr:cxnSp macro="">
      <cdr:nvCxnSpPr>
        <cdr:cNvPr id="3" name="Přímá spojnice se šipkou 2">
          <a:extLst xmlns:a="http://schemas.openxmlformats.org/drawingml/2006/main">
            <a:ext uri="{FF2B5EF4-FFF2-40B4-BE49-F238E27FC236}">
              <a16:creationId xmlns:a16="http://schemas.microsoft.com/office/drawing/2014/main" id="{69696E5F-D1EC-447B-CB62-AD40F107B522}"/>
            </a:ext>
          </a:extLst>
        </cdr:cNvPr>
        <cdr:cNvCxnSpPr/>
      </cdr:nvCxnSpPr>
      <cdr:spPr>
        <a:xfrm xmlns:a="http://schemas.openxmlformats.org/drawingml/2006/main" flipH="1" flipV="1">
          <a:off x="3153218" y="1088157"/>
          <a:ext cx="2649" cy="5358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headEnd type="arrow" w="med" len="med"/>
          <a:tailEnd type="arrow" w="med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0.53156</cdr:x>
      <cdr:y>0.36137</cdr:y>
    </cdr:from>
    <cdr:to>
      <cdr:x>0.64951</cdr:x>
      <cdr:y>0.36165</cdr:y>
    </cdr:to>
    <cdr:cxnSp macro="">
      <cdr:nvCxnSpPr>
        <cdr:cNvPr id="5" name="Přímá spojnice 4">
          <a:extLst xmlns:a="http://schemas.openxmlformats.org/drawingml/2006/main">
            <a:ext uri="{FF2B5EF4-FFF2-40B4-BE49-F238E27FC236}">
              <a16:creationId xmlns:a16="http://schemas.microsoft.com/office/drawing/2014/main" id="{DB3233C1-AA2F-DA9F-3232-D09FA10B0873}"/>
            </a:ext>
          </a:extLst>
        </cdr:cNvPr>
        <cdr:cNvCxnSpPr/>
      </cdr:nvCxnSpPr>
      <cdr:spPr>
        <a:xfrm xmlns:a="http://schemas.openxmlformats.org/drawingml/2006/main">
          <a:off x="2612860" y="1087301"/>
          <a:ext cx="579771" cy="85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0.4544</cdr:x>
      <cdr:y>0.67167</cdr:y>
    </cdr:from>
    <cdr:to>
      <cdr:x>0.6415</cdr:x>
      <cdr:y>0.67167</cdr:y>
    </cdr:to>
    <cdr:cxnSp macro="">
      <cdr:nvCxnSpPr>
        <cdr:cNvPr id="6" name="Přímá spojnice se šipkou 5">
          <a:extLst xmlns:a="http://schemas.openxmlformats.org/drawingml/2006/main">
            <a:ext uri="{FF2B5EF4-FFF2-40B4-BE49-F238E27FC236}">
              <a16:creationId xmlns:a16="http://schemas.microsoft.com/office/drawing/2014/main" id="{F0EC348E-7402-F4AD-B127-0A83F84B3E72}"/>
            </a:ext>
          </a:extLst>
        </cdr:cNvPr>
        <cdr:cNvCxnSpPr/>
      </cdr:nvCxnSpPr>
      <cdr:spPr>
        <a:xfrm xmlns:a="http://schemas.openxmlformats.org/drawingml/2006/main" flipH="1">
          <a:off x="2233562" y="2020950"/>
          <a:ext cx="919656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headEnd type="arrow" w="med" len="med"/>
          <a:tailEnd type="arrow" w="med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0.45574</cdr:x>
      <cdr:y>0.58452</cdr:y>
    </cdr:from>
    <cdr:to>
      <cdr:x>0.45669</cdr:x>
      <cdr:y>0.69131</cdr:y>
    </cdr:to>
    <cdr:cxnSp macro="">
      <cdr:nvCxnSpPr>
        <cdr:cNvPr id="12" name="Přímá spojnice 11">
          <a:extLst xmlns:a="http://schemas.openxmlformats.org/drawingml/2006/main">
            <a:ext uri="{FF2B5EF4-FFF2-40B4-BE49-F238E27FC236}">
              <a16:creationId xmlns:a16="http://schemas.microsoft.com/office/drawing/2014/main" id="{5A8FD62E-C407-A7C4-D37F-8322A1213AF3}"/>
            </a:ext>
          </a:extLst>
        </cdr:cNvPr>
        <cdr:cNvCxnSpPr/>
      </cdr:nvCxnSpPr>
      <cdr:spPr>
        <a:xfrm xmlns:a="http://schemas.openxmlformats.org/drawingml/2006/main" flipH="1">
          <a:off x="2240131" y="1758730"/>
          <a:ext cx="4704" cy="32133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0.64112</cdr:x>
      <cdr:y>0.5887</cdr:y>
    </cdr:from>
    <cdr:to>
      <cdr:x>0.6415</cdr:x>
      <cdr:y>0.69568</cdr:y>
    </cdr:to>
    <cdr:cxnSp macro="">
      <cdr:nvCxnSpPr>
        <cdr:cNvPr id="20" name="Přímá spojnice 19">
          <a:extLst xmlns:a="http://schemas.openxmlformats.org/drawingml/2006/main">
            <a:ext uri="{FF2B5EF4-FFF2-40B4-BE49-F238E27FC236}">
              <a16:creationId xmlns:a16="http://schemas.microsoft.com/office/drawing/2014/main" id="{2EEBA62A-5E7F-FF52-9456-DFBE97C7370D}"/>
            </a:ext>
          </a:extLst>
        </cdr:cNvPr>
        <cdr:cNvCxnSpPr/>
      </cdr:nvCxnSpPr>
      <cdr:spPr>
        <a:xfrm xmlns:a="http://schemas.openxmlformats.org/drawingml/2006/main" flipH="1">
          <a:off x="3151352" y="1771329"/>
          <a:ext cx="1866" cy="32187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0.6386</cdr:x>
      <cdr:y>0.64974</cdr:y>
    </cdr:from>
    <cdr:to>
      <cdr:x>0.72413</cdr:x>
      <cdr:y>0.7327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8" name="TextovéPole 27">
              <a:extLst xmlns:a="http://schemas.openxmlformats.org/drawingml/2006/main">
                <a:ext uri="{FF2B5EF4-FFF2-40B4-BE49-F238E27FC236}">
                  <a16:creationId xmlns:a16="http://schemas.microsoft.com/office/drawing/2014/main" id="{041CB322-21B4-3645-7854-BDBC8A00BB95}"/>
                </a:ext>
              </a:extLst>
            </cdr:cNvPr>
            <cdr:cNvSpPr txBox="1"/>
          </cdr:nvSpPr>
          <cdr:spPr>
            <a:xfrm xmlns:a="http://schemas.openxmlformats.org/drawingml/2006/main">
              <a:off x="4181190" y="2714467"/>
              <a:ext cx="559999" cy="34659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𝛝</m:t>
                        </m:r>
                      </m:e>
                      <m:sub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𝐌𝐀𝐗</m:t>
                        </m:r>
                      </m:sub>
                    </m:sSub>
                  </m:oMath>
                </m:oMathPara>
              </a14:m>
              <a:endParaRPr lang="cs-CZ" sz="8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8" name="TextovéPole 27">
              <a:extLst xmlns:a="http://schemas.openxmlformats.org/drawingml/2006/main">
                <a:ext uri="{FF2B5EF4-FFF2-40B4-BE49-F238E27FC236}">
                  <a16:creationId xmlns:a16="http://schemas.microsoft.com/office/drawing/2014/main" id="{041CB322-21B4-3645-7854-BDBC8A00BB95}"/>
                </a:ext>
              </a:extLst>
            </cdr:cNvPr>
            <cdr:cNvSpPr txBox="1"/>
          </cdr:nvSpPr>
          <cdr:spPr>
            <a:xfrm xmlns:a="http://schemas.openxmlformats.org/drawingml/2006/main">
              <a:off x="4181190" y="2714467"/>
              <a:ext cx="559999" cy="346591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𝛝_𝐌𝐀𝐗</a:t>
              </a:r>
              <a:endParaRPr lang="cs-CZ" sz="8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0.59434</cdr:x>
      <cdr:y>0.40313</cdr:y>
    </cdr:from>
    <cdr:to>
      <cdr:x>0.67987</cdr:x>
      <cdr:y>0.48627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9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D083AFFE-0524-8EB4-8FC8-403978103A40}"/>
                </a:ext>
              </a:extLst>
            </cdr:cNvPr>
            <cdr:cNvSpPr txBox="1"/>
          </cdr:nvSpPr>
          <cdr:spPr>
            <a:xfrm xmlns:a="http://schemas.openxmlformats.org/drawingml/2006/main">
              <a:off x="2921439" y="1212967"/>
              <a:ext cx="420414" cy="25016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="vert270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cs-CZ" sz="800" b="1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𝚫𝛝</m:t>
                    </m:r>
                  </m:oMath>
                </m:oMathPara>
              </a14:m>
              <a:endParaRPr lang="cs-CZ" sz="4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9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D083AFFE-0524-8EB4-8FC8-403978103A40}"/>
                </a:ext>
              </a:extLst>
            </cdr:cNvPr>
            <cdr:cNvSpPr txBox="1"/>
          </cdr:nvSpPr>
          <cdr:spPr>
            <a:xfrm xmlns:a="http://schemas.openxmlformats.org/drawingml/2006/main">
              <a:off x="2921439" y="1212967"/>
              <a:ext cx="420414" cy="25016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="vert270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+mn-lt"/>
                  <a:ea typeface="+mn-ea"/>
                  <a:cs typeface="+mn-cs"/>
                </a:rPr>
                <a:t>𝚫𝛝</a:t>
              </a:r>
              <a:endParaRPr lang="cs-CZ" sz="400" b="1" i="0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0.61343</cdr:x>
      <cdr:y>0.67167</cdr:y>
    </cdr:from>
    <cdr:to>
      <cdr:x>0.66822</cdr:x>
      <cdr:y>0.75548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3" name="TextovéPole 32">
              <a:extLst xmlns:a="http://schemas.openxmlformats.org/drawingml/2006/main">
                <a:ext uri="{FF2B5EF4-FFF2-40B4-BE49-F238E27FC236}">
                  <a16:creationId xmlns:a16="http://schemas.microsoft.com/office/drawing/2014/main" id="{62EABE7B-E55E-91E3-8169-59D6867CAFC3}"/>
                </a:ext>
              </a:extLst>
            </cdr:cNvPr>
            <cdr:cNvSpPr txBox="1"/>
          </cdr:nvSpPr>
          <cdr:spPr>
            <a:xfrm xmlns:a="http://schemas.openxmlformats.org/drawingml/2006/main">
              <a:off x="3015269" y="2020950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𝐭</m:t>
                        </m:r>
                      </m:e>
                      <m:sub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𝐁</m:t>
                        </m:r>
                      </m:sub>
                    </m:sSub>
                  </m:oMath>
                </m:oMathPara>
              </a14:m>
              <a:endParaRPr lang="cs-CZ" sz="1100" b="1" i="0" kern="1200"/>
            </a:p>
          </cdr:txBody>
        </cdr:sp>
      </mc:Choice>
      <mc:Fallback xmlns="">
        <cdr:sp macro="" textlink="">
          <cdr:nvSpPr>
            <cdr:cNvPr id="33" name="TextovéPole 32">
              <a:extLst xmlns:a="http://schemas.openxmlformats.org/drawingml/2006/main">
                <a:ext uri="{FF2B5EF4-FFF2-40B4-BE49-F238E27FC236}">
                  <a16:creationId xmlns:a16="http://schemas.microsoft.com/office/drawing/2014/main" id="{62EABE7B-E55E-91E3-8169-59D6867CAFC3}"/>
                </a:ext>
              </a:extLst>
            </cdr:cNvPr>
            <cdr:cNvSpPr txBox="1"/>
          </cdr:nvSpPr>
          <cdr:spPr>
            <a:xfrm xmlns:a="http://schemas.openxmlformats.org/drawingml/2006/main">
              <a:off x="3015269" y="2020950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cs-CZ" sz="800" b="1" i="0">
                  <a:effectLst/>
                  <a:latin typeface="+mn-lt"/>
                  <a:ea typeface="+mn-ea"/>
                  <a:cs typeface="+mn-cs"/>
                </a:rPr>
                <a:t>𝐭_𝐁</a:t>
              </a:r>
              <a:endParaRPr lang="cs-CZ" sz="1100" b="1" i="0" kern="1200"/>
            </a:p>
          </cdr:txBody>
        </cdr:sp>
      </mc:Fallback>
    </mc:AlternateContent>
  </cdr:relSizeAnchor>
  <cdr:relSizeAnchor xmlns:cdr="http://schemas.openxmlformats.org/drawingml/2006/chartDrawing">
    <cdr:from>
      <cdr:x>0.43264</cdr:x>
      <cdr:y>0.67403</cdr:y>
    </cdr:from>
    <cdr:to>
      <cdr:x>0.48743</cdr:x>
      <cdr:y>0.75784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4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2126593" y="2028059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𝐭</m:t>
                        </m:r>
                      </m:e>
                      <m:sub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𝐀</m:t>
                        </m:r>
                      </m:sub>
                    </m:sSub>
                  </m:oMath>
                </m:oMathPara>
              </a14:m>
              <a:endParaRPr lang="cs-CZ" sz="1100" b="1" i="0" kern="1200"/>
            </a:p>
          </cdr:txBody>
        </cdr:sp>
      </mc:Choice>
      <mc:Fallback xmlns="">
        <cdr:sp macro="" textlink="">
          <cdr:nvSpPr>
            <cdr:cNvPr id="34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2126593" y="2028059"/>
              <a:ext cx="269327" cy="252192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𝐭_𝐀</a:t>
              </a:r>
              <a:endParaRPr lang="cs-CZ" sz="1100" b="1" i="0" kern="1200"/>
            </a:p>
          </cdr:txBody>
        </cdr:sp>
      </mc:Fallback>
    </mc:AlternateContent>
  </cdr:relSizeAnchor>
  <cdr:relSizeAnchor xmlns:cdr="http://schemas.openxmlformats.org/drawingml/2006/chartDrawing">
    <cdr:from>
      <cdr:x>0.38556</cdr:x>
      <cdr:y>0.67723</cdr:y>
    </cdr:from>
    <cdr:to>
      <cdr:x>0.44036</cdr:x>
      <cdr:y>0.76105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5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2524387" y="2829319"/>
              <a:ext cx="358798" cy="35018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𝛝</m:t>
                        </m:r>
                      </m:e>
                      <m:sub>
                        <m: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sub>
                    </m:sSub>
                  </m:oMath>
                </m:oMathPara>
              </a14:m>
              <a:endParaRPr lang="cs-CZ" sz="800" b="1" i="0" kern="1200"/>
            </a:p>
          </cdr:txBody>
        </cdr:sp>
      </mc:Choice>
      <mc:Fallback xmlns="">
        <cdr:sp macro="" textlink="">
          <cdr:nvSpPr>
            <cdr:cNvPr id="35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8A95CDE8-5AD6-7494-9217-3FC6C3F20E00}"/>
                </a:ext>
              </a:extLst>
            </cdr:cNvPr>
            <cdr:cNvSpPr txBox="1"/>
          </cdr:nvSpPr>
          <cdr:spPr>
            <a:xfrm xmlns:a="http://schemas.openxmlformats.org/drawingml/2006/main">
              <a:off x="2524387" y="2829319"/>
              <a:ext cx="358798" cy="35018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𝛝_𝑺</a:t>
              </a:r>
              <a:endParaRPr lang="cs-CZ" sz="800" b="1" i="0" kern="1200"/>
            </a:p>
          </cdr:txBody>
        </cdr:sp>
      </mc:Fallback>
    </mc:AlternateContent>
  </cdr:relSizeAnchor>
  <cdr:relSizeAnchor xmlns:cdr="http://schemas.openxmlformats.org/drawingml/2006/chartDrawing">
    <cdr:from>
      <cdr:x>0.36252</cdr:x>
      <cdr:y>0.67589</cdr:y>
    </cdr:from>
    <cdr:to>
      <cdr:x>0.41731</cdr:x>
      <cdr:y>0.75971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6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38E9ACDD-3480-385F-5B76-642A2225BAD1}"/>
                </a:ext>
              </a:extLst>
            </cdr:cNvPr>
            <cdr:cNvSpPr txBox="1"/>
          </cdr:nvSpPr>
          <cdr:spPr>
            <a:xfrm xmlns:a="http://schemas.openxmlformats.org/drawingml/2006/main">
              <a:off x="2373556" y="2823744"/>
              <a:ext cx="358732" cy="35018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cs-CZ" sz="800" b="1" i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𝛝</m:t>
                        </m:r>
                      </m:e>
                      <m:sub>
                        <m:r>
                          <a:rPr lang="cs-CZ" sz="800" b="1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</m:t>
                        </m:r>
                      </m:sub>
                    </m:sSub>
                  </m:oMath>
                </m:oMathPara>
              </a14:m>
              <a:endParaRPr lang="cs-CZ" sz="800" b="1" i="0" kern="1200"/>
            </a:p>
          </cdr:txBody>
        </cdr:sp>
      </mc:Choice>
      <mc:Fallback xmlns="">
        <cdr:sp macro="" textlink="">
          <cdr:nvSpPr>
            <cdr:cNvPr id="36" name="TextovéPole 1">
              <a:extLst xmlns:a="http://schemas.openxmlformats.org/drawingml/2006/main">
                <a:ext uri="{FF2B5EF4-FFF2-40B4-BE49-F238E27FC236}">
                  <a16:creationId xmlns:a16="http://schemas.microsoft.com/office/drawing/2014/main" id="{38E9ACDD-3480-385F-5B76-642A2225BAD1}"/>
                </a:ext>
              </a:extLst>
            </cdr:cNvPr>
            <cdr:cNvSpPr txBox="1"/>
          </cdr:nvSpPr>
          <cdr:spPr>
            <a:xfrm xmlns:a="http://schemas.openxmlformats.org/drawingml/2006/main">
              <a:off x="2373556" y="2823744"/>
              <a:ext cx="358732" cy="35018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cs-CZ" sz="800" b="1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𝛝_𝑷</a:t>
              </a:r>
              <a:endParaRPr lang="cs-CZ" sz="800" b="1" i="0" kern="12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CA9D-A77A-45E1-9943-02725E27DEDF}">
  <dimension ref="A1:K159"/>
  <sheetViews>
    <sheetView tabSelected="1" zoomScale="85" zoomScaleNormal="85" workbookViewId="0">
      <selection activeCell="G8" sqref="G8"/>
    </sheetView>
  </sheetViews>
  <sheetFormatPr defaultRowHeight="15" x14ac:dyDescent="0.25"/>
  <cols>
    <col min="2" max="2" width="10.85546875" customWidth="1"/>
    <col min="3" max="3" width="10.42578125" style="3" customWidth="1"/>
    <col min="6" max="6" width="18.28515625" bestFit="1" customWidth="1"/>
    <col min="9" max="9" width="14.28515625" customWidth="1"/>
    <col min="10" max="10" width="17.85546875" customWidth="1"/>
  </cols>
  <sheetData>
    <row r="1" spans="1:11" x14ac:dyDescent="0.25">
      <c r="A1" t="s">
        <v>0</v>
      </c>
      <c r="B1" t="s">
        <v>1</v>
      </c>
      <c r="C1" s="3" t="s">
        <v>2</v>
      </c>
      <c r="I1" t="s">
        <v>3</v>
      </c>
    </row>
    <row r="2" spans="1:11" x14ac:dyDescent="0.25">
      <c r="A2" s="1">
        <v>0.6390393518518519</v>
      </c>
      <c r="B2" s="2">
        <f t="shared" ref="B2:B33" si="0">(A2-$A$2)*86400</f>
        <v>0</v>
      </c>
      <c r="C2" s="3">
        <v>35.072400000000002</v>
      </c>
      <c r="D2" t="str">
        <f t="shared" ref="D2:D33" si="1">IF(AND(C2&gt;C1,C2&gt;C3),"PEAK",
 IF(AND(C2&lt;C1,C2&lt;C3),"BOTTOM",""))</f>
        <v/>
      </c>
      <c r="E2">
        <v>1</v>
      </c>
      <c r="F2" cm="1">
        <f t="array" ref="F2">IF(E2=1,C2,NED)</f>
        <v>35.072400000000002</v>
      </c>
      <c r="I2">
        <v>36.176499999999997</v>
      </c>
      <c r="J2" s="2">
        <f>IF(E2=1,I2,NA())</f>
        <v>36.176499999999997</v>
      </c>
      <c r="K2" s="3"/>
    </row>
    <row r="3" spans="1:11" x14ac:dyDescent="0.25">
      <c r="A3" s="1">
        <v>0.63905092592592594</v>
      </c>
      <c r="B3" s="2">
        <f t="shared" si="0"/>
        <v>0.99999999999695888</v>
      </c>
      <c r="C3" s="3">
        <v>35.021099999999997</v>
      </c>
      <c r="D3" t="str">
        <f t="shared" si="1"/>
        <v>BOTTOM</v>
      </c>
      <c r="F3" t="e">
        <f>IF(E3=1,C3,NA())</f>
        <v>#N/A</v>
      </c>
      <c r="I3">
        <v>36.176499999999997</v>
      </c>
      <c r="J3" s="2" t="e">
        <f>IF(E3=1,I3,NA())</f>
        <v>#N/A</v>
      </c>
      <c r="K3" s="3"/>
    </row>
    <row r="4" spans="1:11" x14ac:dyDescent="0.25">
      <c r="A4" s="1">
        <v>0.63906249999999998</v>
      </c>
      <c r="B4" s="2">
        <f t="shared" si="0"/>
        <v>1.9999999999939178</v>
      </c>
      <c r="C4" s="3">
        <v>35.329500000000003</v>
      </c>
      <c r="D4" t="str">
        <f t="shared" si="1"/>
        <v/>
      </c>
      <c r="E4">
        <v>1</v>
      </c>
      <c r="F4">
        <f t="shared" ref="F4:F67" si="2">IF(E4=1,C4,NA())</f>
        <v>35.329500000000003</v>
      </c>
      <c r="I4">
        <v>36.176499999999997</v>
      </c>
      <c r="J4" s="2">
        <f t="shared" ref="J4:J67" si="3">IF(E4=1,I4,NA())</f>
        <v>36.176499999999997</v>
      </c>
      <c r="K4" s="3"/>
    </row>
    <row r="5" spans="1:11" x14ac:dyDescent="0.25">
      <c r="A5" s="1">
        <v>0.63907407407407413</v>
      </c>
      <c r="B5" s="2">
        <f t="shared" si="0"/>
        <v>3.000000000000469</v>
      </c>
      <c r="C5" s="3">
        <v>35.910400000000003</v>
      </c>
      <c r="D5" t="str">
        <f t="shared" si="1"/>
        <v/>
      </c>
      <c r="F5" t="e">
        <f t="shared" si="2"/>
        <v>#N/A</v>
      </c>
      <c r="I5">
        <v>36.176499999999997</v>
      </c>
      <c r="J5" s="2" t="e">
        <f t="shared" si="3"/>
        <v>#N/A</v>
      </c>
      <c r="K5" s="3"/>
    </row>
    <row r="6" spans="1:11" x14ac:dyDescent="0.25">
      <c r="A6" s="1">
        <v>0.63908564814814817</v>
      </c>
      <c r="B6" s="2">
        <f t="shared" si="0"/>
        <v>3.9999999999974278</v>
      </c>
      <c r="C6" s="3">
        <v>36.701999999999998</v>
      </c>
      <c r="D6" t="str">
        <f t="shared" si="1"/>
        <v/>
      </c>
      <c r="F6" t="e">
        <f t="shared" si="2"/>
        <v>#N/A</v>
      </c>
      <c r="I6">
        <v>36.176499999999997</v>
      </c>
      <c r="J6" s="2" t="e">
        <f t="shared" si="3"/>
        <v>#N/A</v>
      </c>
      <c r="K6" s="3"/>
    </row>
    <row r="7" spans="1:11" x14ac:dyDescent="0.25">
      <c r="A7" s="1">
        <v>0.63909722222222221</v>
      </c>
      <c r="B7" s="2">
        <f t="shared" si="0"/>
        <v>4.9999999999943867</v>
      </c>
      <c r="C7" s="3">
        <v>37.647199999999998</v>
      </c>
      <c r="D7" t="str">
        <f t="shared" si="1"/>
        <v/>
      </c>
      <c r="E7">
        <v>1</v>
      </c>
      <c r="F7">
        <f t="shared" si="2"/>
        <v>37.647199999999998</v>
      </c>
      <c r="I7">
        <v>36.176499999999997</v>
      </c>
      <c r="J7" s="2">
        <f t="shared" si="3"/>
        <v>36.176499999999997</v>
      </c>
      <c r="K7" s="3"/>
    </row>
    <row r="8" spans="1:11" x14ac:dyDescent="0.25">
      <c r="A8" s="1">
        <v>0.63910879629629624</v>
      </c>
      <c r="B8" s="2">
        <f t="shared" si="0"/>
        <v>5.9999999999913456</v>
      </c>
      <c r="C8" s="3">
        <v>38.584499999999998</v>
      </c>
      <c r="D8" t="str">
        <f t="shared" si="1"/>
        <v/>
      </c>
      <c r="F8" t="e">
        <f t="shared" si="2"/>
        <v>#N/A</v>
      </c>
      <c r="I8">
        <v>36.176499999999997</v>
      </c>
      <c r="J8" s="2" t="e">
        <f t="shared" si="3"/>
        <v>#N/A</v>
      </c>
      <c r="K8" s="3"/>
    </row>
    <row r="9" spans="1:11" x14ac:dyDescent="0.25">
      <c r="A9" s="1">
        <v>0.63912037037037039</v>
      </c>
      <c r="B9" s="2">
        <f t="shared" si="0"/>
        <v>6.9999999999978968</v>
      </c>
      <c r="C9" s="3">
        <v>39.0336</v>
      </c>
      <c r="D9" t="str">
        <f t="shared" si="1"/>
        <v/>
      </c>
      <c r="F9" t="e">
        <f t="shared" si="2"/>
        <v>#N/A</v>
      </c>
      <c r="I9">
        <v>36.176499999999997</v>
      </c>
      <c r="J9" s="2" t="e">
        <f t="shared" si="3"/>
        <v>#N/A</v>
      </c>
      <c r="K9" s="3"/>
    </row>
    <row r="10" spans="1:11" x14ac:dyDescent="0.25">
      <c r="A10" s="1">
        <v>0.63913194444444443</v>
      </c>
      <c r="B10" s="2">
        <f t="shared" si="0"/>
        <v>7.9999999999948557</v>
      </c>
      <c r="C10" s="3">
        <v>39.473100000000002</v>
      </c>
      <c r="D10" t="str">
        <f t="shared" si="1"/>
        <v/>
      </c>
      <c r="E10">
        <v>1</v>
      </c>
      <c r="F10">
        <f t="shared" si="2"/>
        <v>39.473100000000002</v>
      </c>
      <c r="I10">
        <v>36.176499999999997</v>
      </c>
      <c r="J10" s="2">
        <f t="shared" si="3"/>
        <v>36.176499999999997</v>
      </c>
      <c r="K10" s="3"/>
    </row>
    <row r="11" spans="1:11" x14ac:dyDescent="0.25">
      <c r="A11" s="1">
        <v>0.63914351851851847</v>
      </c>
      <c r="B11" s="2">
        <f t="shared" si="0"/>
        <v>8.9999999999918145</v>
      </c>
      <c r="C11" s="3">
        <v>39.747300000000003</v>
      </c>
      <c r="D11" t="str">
        <f t="shared" si="1"/>
        <v/>
      </c>
      <c r="F11" t="e">
        <f t="shared" si="2"/>
        <v>#N/A</v>
      </c>
      <c r="I11">
        <v>36.176499999999997</v>
      </c>
      <c r="J11" s="2" t="e">
        <f t="shared" si="3"/>
        <v>#N/A</v>
      </c>
      <c r="K11" s="3"/>
    </row>
    <row r="12" spans="1:11" x14ac:dyDescent="0.25">
      <c r="A12" s="1">
        <v>0.63915509259259262</v>
      </c>
      <c r="B12" s="2">
        <f t="shared" si="0"/>
        <v>9.9999999999983658</v>
      </c>
      <c r="C12" s="3">
        <v>39.882800000000003</v>
      </c>
      <c r="D12" t="str">
        <f t="shared" si="1"/>
        <v/>
      </c>
      <c r="F12" t="e">
        <f t="shared" si="2"/>
        <v>#N/A</v>
      </c>
      <c r="I12">
        <v>36.176499999999997</v>
      </c>
      <c r="J12" s="2" t="e">
        <f t="shared" si="3"/>
        <v>#N/A</v>
      </c>
    </row>
    <row r="13" spans="1:11" x14ac:dyDescent="0.25">
      <c r="A13" s="1">
        <v>0.63916666666666666</v>
      </c>
      <c r="B13" s="2">
        <f t="shared" si="0"/>
        <v>10.999999999995325</v>
      </c>
      <c r="C13" s="3">
        <v>39.9114</v>
      </c>
      <c r="D13" t="str">
        <f t="shared" si="1"/>
        <v>PEAK</v>
      </c>
      <c r="E13">
        <v>1</v>
      </c>
      <c r="F13">
        <f t="shared" si="2"/>
        <v>39.9114</v>
      </c>
      <c r="I13">
        <v>36.176499999999997</v>
      </c>
      <c r="J13" s="2">
        <f t="shared" si="3"/>
        <v>36.176499999999997</v>
      </c>
    </row>
    <row r="14" spans="1:11" x14ac:dyDescent="0.25">
      <c r="A14" s="1">
        <v>0.6391782407407407</v>
      </c>
      <c r="B14" s="2">
        <f t="shared" si="0"/>
        <v>11.999999999992284</v>
      </c>
      <c r="C14" s="3">
        <v>39.840699999999998</v>
      </c>
      <c r="D14" t="str">
        <f t="shared" si="1"/>
        <v/>
      </c>
      <c r="F14" t="e">
        <f t="shared" si="2"/>
        <v>#N/A</v>
      </c>
      <c r="I14">
        <v>36.176499999999997</v>
      </c>
      <c r="J14" s="2" t="e">
        <f t="shared" si="3"/>
        <v>#N/A</v>
      </c>
    </row>
    <row r="15" spans="1:11" x14ac:dyDescent="0.25">
      <c r="A15" s="1">
        <v>0.63918981481481485</v>
      </c>
      <c r="B15" s="2">
        <f t="shared" si="0"/>
        <v>12.999999999998835</v>
      </c>
      <c r="C15" s="3">
        <v>39.7256</v>
      </c>
      <c r="D15" t="str">
        <f t="shared" si="1"/>
        <v/>
      </c>
      <c r="F15" t="e">
        <f t="shared" si="2"/>
        <v>#N/A</v>
      </c>
      <c r="I15">
        <v>36.176499999999997</v>
      </c>
      <c r="J15" s="2" t="e">
        <f t="shared" si="3"/>
        <v>#N/A</v>
      </c>
    </row>
    <row r="16" spans="1:11" x14ac:dyDescent="0.25">
      <c r="A16" s="1">
        <v>0.63920138888888889</v>
      </c>
      <c r="B16" s="2">
        <f t="shared" si="0"/>
        <v>13.999999999995794</v>
      </c>
      <c r="C16" s="3">
        <v>39.525100000000002</v>
      </c>
      <c r="D16" t="str">
        <f t="shared" si="1"/>
        <v/>
      </c>
      <c r="E16">
        <v>1</v>
      </c>
      <c r="F16">
        <f t="shared" si="2"/>
        <v>39.525100000000002</v>
      </c>
      <c r="I16">
        <v>36.176499999999997</v>
      </c>
      <c r="J16" s="2">
        <f t="shared" si="3"/>
        <v>36.176499999999997</v>
      </c>
    </row>
    <row r="17" spans="1:10" x14ac:dyDescent="0.25">
      <c r="A17" s="1">
        <v>0.63921296296296293</v>
      </c>
      <c r="B17" s="2">
        <f t="shared" si="0"/>
        <v>14.999999999992752</v>
      </c>
      <c r="C17" s="3">
        <v>39.459899999999998</v>
      </c>
      <c r="D17" t="str">
        <f t="shared" si="1"/>
        <v/>
      </c>
      <c r="F17" t="e">
        <f t="shared" si="2"/>
        <v>#N/A</v>
      </c>
      <c r="I17">
        <v>36.176499999999997</v>
      </c>
      <c r="J17" s="2" t="e">
        <f t="shared" si="3"/>
        <v>#N/A</v>
      </c>
    </row>
    <row r="18" spans="1:10" x14ac:dyDescent="0.25">
      <c r="A18" s="1">
        <v>0.63922453703703708</v>
      </c>
      <c r="B18" s="2">
        <f t="shared" si="0"/>
        <v>15.999999999999304</v>
      </c>
      <c r="C18" s="3">
        <v>39.232799999999997</v>
      </c>
      <c r="D18" t="str">
        <f t="shared" si="1"/>
        <v/>
      </c>
      <c r="F18" t="e">
        <f t="shared" si="2"/>
        <v>#N/A</v>
      </c>
      <c r="I18">
        <v>36.176499999999997</v>
      </c>
      <c r="J18" s="2" t="e">
        <f t="shared" si="3"/>
        <v>#N/A</v>
      </c>
    </row>
    <row r="19" spans="1:10" x14ac:dyDescent="0.25">
      <c r="A19" s="1">
        <v>0.63923611111111112</v>
      </c>
      <c r="B19" s="2">
        <f t="shared" si="0"/>
        <v>16.999999999996263</v>
      </c>
      <c r="C19" s="3">
        <v>38.909300000000002</v>
      </c>
      <c r="D19" t="str">
        <f t="shared" si="1"/>
        <v/>
      </c>
      <c r="F19" t="e">
        <f t="shared" si="2"/>
        <v>#N/A</v>
      </c>
      <c r="I19">
        <v>36.176499999999997</v>
      </c>
      <c r="J19" s="2" t="e">
        <f t="shared" si="3"/>
        <v>#N/A</v>
      </c>
    </row>
    <row r="20" spans="1:10" x14ac:dyDescent="0.25">
      <c r="A20" s="1">
        <v>0.63924768518518515</v>
      </c>
      <c r="B20" s="2">
        <f t="shared" si="0"/>
        <v>17.999999999993221</v>
      </c>
      <c r="C20" s="3">
        <v>38.566400000000002</v>
      </c>
      <c r="D20" t="str">
        <f t="shared" si="1"/>
        <v/>
      </c>
      <c r="F20" t="e">
        <f t="shared" si="2"/>
        <v>#N/A</v>
      </c>
      <c r="I20">
        <v>36.176499999999997</v>
      </c>
      <c r="J20" s="2" t="e">
        <f t="shared" si="3"/>
        <v>#N/A</v>
      </c>
    </row>
    <row r="21" spans="1:10" x14ac:dyDescent="0.25">
      <c r="A21" s="1">
        <v>0.6392592592592593</v>
      </c>
      <c r="B21" s="2">
        <f t="shared" si="0"/>
        <v>18.999999999999773</v>
      </c>
      <c r="C21" s="3">
        <v>38.203499999999998</v>
      </c>
      <c r="D21" t="str">
        <f t="shared" si="1"/>
        <v/>
      </c>
      <c r="E21">
        <v>1</v>
      </c>
      <c r="F21">
        <f t="shared" si="2"/>
        <v>38.203499999999998</v>
      </c>
      <c r="I21">
        <v>36.176499999999997</v>
      </c>
      <c r="J21" s="2">
        <f t="shared" si="3"/>
        <v>36.176499999999997</v>
      </c>
    </row>
    <row r="22" spans="1:10" x14ac:dyDescent="0.25">
      <c r="A22" s="1">
        <v>0.63927083333333334</v>
      </c>
      <c r="B22" s="2">
        <f t="shared" si="0"/>
        <v>19.999999999996732</v>
      </c>
      <c r="C22" s="3">
        <v>37.829000000000001</v>
      </c>
      <c r="D22" t="str">
        <f t="shared" si="1"/>
        <v/>
      </c>
      <c r="F22" t="e">
        <f t="shared" si="2"/>
        <v>#N/A</v>
      </c>
      <c r="I22">
        <v>36.176499999999997</v>
      </c>
      <c r="J22" s="2" t="e">
        <f t="shared" si="3"/>
        <v>#N/A</v>
      </c>
    </row>
    <row r="23" spans="1:10" x14ac:dyDescent="0.25">
      <c r="A23" s="1">
        <v>0.63928240740740738</v>
      </c>
      <c r="B23" s="2">
        <f t="shared" si="0"/>
        <v>20.99999999999369</v>
      </c>
      <c r="C23" s="3">
        <v>37.429200000000002</v>
      </c>
      <c r="D23" t="str">
        <f t="shared" si="1"/>
        <v/>
      </c>
      <c r="F23" t="e">
        <f t="shared" si="2"/>
        <v>#N/A</v>
      </c>
      <c r="I23">
        <v>36.176499999999997</v>
      </c>
      <c r="J23" s="2" t="e">
        <f t="shared" si="3"/>
        <v>#N/A</v>
      </c>
    </row>
    <row r="24" spans="1:10" x14ac:dyDescent="0.25">
      <c r="A24" s="1">
        <v>0.63929398148148153</v>
      </c>
      <c r="B24" s="2">
        <f t="shared" si="0"/>
        <v>22.000000000000242</v>
      </c>
      <c r="C24" s="3">
        <v>37.018300000000004</v>
      </c>
      <c r="D24" t="str">
        <f t="shared" si="1"/>
        <v/>
      </c>
      <c r="F24" t="e">
        <f t="shared" si="2"/>
        <v>#N/A</v>
      </c>
      <c r="I24">
        <v>36.176499999999997</v>
      </c>
      <c r="J24" s="2" t="e">
        <f t="shared" si="3"/>
        <v>#N/A</v>
      </c>
    </row>
    <row r="25" spans="1:10" x14ac:dyDescent="0.25">
      <c r="A25" s="1">
        <v>0.63930555555555557</v>
      </c>
      <c r="B25" s="2">
        <f t="shared" si="0"/>
        <v>22.9999999999972</v>
      </c>
      <c r="C25" s="3">
        <v>36.619799999999998</v>
      </c>
      <c r="D25" t="str">
        <f t="shared" si="1"/>
        <v/>
      </c>
      <c r="F25" t="e">
        <f t="shared" si="2"/>
        <v>#N/A</v>
      </c>
      <c r="I25">
        <v>36.176499999999997</v>
      </c>
      <c r="J25" s="2" t="e">
        <f t="shared" si="3"/>
        <v>#N/A</v>
      </c>
    </row>
    <row r="26" spans="1:10" x14ac:dyDescent="0.25">
      <c r="A26" s="1">
        <v>0.63931712962962961</v>
      </c>
      <c r="B26" s="2">
        <f t="shared" si="0"/>
        <v>23.999999999994159</v>
      </c>
      <c r="C26" s="3">
        <v>36.203000000000003</v>
      </c>
      <c r="D26" t="str">
        <f t="shared" si="1"/>
        <v/>
      </c>
      <c r="E26">
        <v>1</v>
      </c>
      <c r="F26">
        <f t="shared" si="2"/>
        <v>36.203000000000003</v>
      </c>
      <c r="I26">
        <v>36.176499999999997</v>
      </c>
      <c r="J26" s="2">
        <f t="shared" si="3"/>
        <v>36.176499999999997</v>
      </c>
    </row>
    <row r="27" spans="1:10" x14ac:dyDescent="0.25">
      <c r="A27" s="1">
        <v>0.63932870370370365</v>
      </c>
      <c r="B27" s="2">
        <f t="shared" si="0"/>
        <v>24.999999999991118</v>
      </c>
      <c r="C27" s="3">
        <v>35.783200000000001</v>
      </c>
      <c r="D27" t="str">
        <f t="shared" si="1"/>
        <v/>
      </c>
      <c r="F27" t="e">
        <f t="shared" si="2"/>
        <v>#N/A</v>
      </c>
      <c r="I27">
        <v>36.176499999999997</v>
      </c>
      <c r="J27" s="2" t="e">
        <f t="shared" si="3"/>
        <v>#N/A</v>
      </c>
    </row>
    <row r="28" spans="1:10" x14ac:dyDescent="0.25">
      <c r="A28" s="1">
        <v>0.6393402777777778</v>
      </c>
      <c r="B28" s="2">
        <f t="shared" si="0"/>
        <v>25.999999999997669</v>
      </c>
      <c r="C28" s="3">
        <v>35.4084</v>
      </c>
      <c r="D28" t="str">
        <f t="shared" si="1"/>
        <v/>
      </c>
      <c r="F28" t="e">
        <f t="shared" si="2"/>
        <v>#N/A</v>
      </c>
      <c r="I28">
        <v>36.176499999999997</v>
      </c>
      <c r="J28" s="2" t="e">
        <f t="shared" si="3"/>
        <v>#N/A</v>
      </c>
    </row>
    <row r="29" spans="1:10" x14ac:dyDescent="0.25">
      <c r="A29" s="1">
        <v>0.63935185185185184</v>
      </c>
      <c r="B29" s="2">
        <f t="shared" si="0"/>
        <v>26.999999999994628</v>
      </c>
      <c r="C29" s="3">
        <v>35.179600000000001</v>
      </c>
      <c r="D29" t="str">
        <f t="shared" si="1"/>
        <v>BOTTOM</v>
      </c>
      <c r="E29">
        <v>1</v>
      </c>
      <c r="F29">
        <f t="shared" si="2"/>
        <v>35.179600000000001</v>
      </c>
      <c r="I29">
        <v>36.176499999999997</v>
      </c>
      <c r="J29" s="2">
        <f t="shared" si="3"/>
        <v>36.176499999999997</v>
      </c>
    </row>
    <row r="30" spans="1:10" x14ac:dyDescent="0.25">
      <c r="A30" s="1">
        <v>0.63936342592592588</v>
      </c>
      <c r="B30" s="2">
        <f t="shared" si="0"/>
        <v>27.999999999991587</v>
      </c>
      <c r="C30" s="3">
        <v>35.299500000000002</v>
      </c>
      <c r="D30" t="str">
        <f t="shared" si="1"/>
        <v/>
      </c>
      <c r="F30" t="e">
        <f t="shared" si="2"/>
        <v>#N/A</v>
      </c>
      <c r="I30">
        <v>36.176499999999997</v>
      </c>
      <c r="J30" s="2" t="e">
        <f t="shared" si="3"/>
        <v>#N/A</v>
      </c>
    </row>
    <row r="31" spans="1:10" x14ac:dyDescent="0.25">
      <c r="A31" s="1">
        <v>0.63937500000000003</v>
      </c>
      <c r="B31" s="2">
        <f t="shared" si="0"/>
        <v>28.999999999998138</v>
      </c>
      <c r="C31" s="3">
        <v>35.730200000000004</v>
      </c>
      <c r="D31" t="str">
        <f t="shared" si="1"/>
        <v/>
      </c>
      <c r="E31">
        <v>1</v>
      </c>
      <c r="F31">
        <f t="shared" si="2"/>
        <v>35.730200000000004</v>
      </c>
      <c r="I31">
        <v>36.176499999999997</v>
      </c>
      <c r="J31" s="2">
        <f t="shared" si="3"/>
        <v>36.176499999999997</v>
      </c>
    </row>
    <row r="32" spans="1:10" x14ac:dyDescent="0.25">
      <c r="A32" s="1">
        <v>0.63938657407407407</v>
      </c>
      <c r="B32" s="2">
        <f t="shared" si="0"/>
        <v>29.999999999995097</v>
      </c>
      <c r="C32" s="3">
        <v>36.414700000000003</v>
      </c>
      <c r="D32" t="str">
        <f t="shared" si="1"/>
        <v/>
      </c>
      <c r="F32" t="e">
        <f t="shared" si="2"/>
        <v>#N/A</v>
      </c>
      <c r="I32">
        <v>36.176499999999997</v>
      </c>
      <c r="J32" s="2" t="e">
        <f t="shared" si="3"/>
        <v>#N/A</v>
      </c>
    </row>
    <row r="33" spans="1:10" x14ac:dyDescent="0.25">
      <c r="A33" s="1">
        <v>0.6393981481481481</v>
      </c>
      <c r="B33" s="2">
        <f t="shared" si="0"/>
        <v>30.999999999992056</v>
      </c>
      <c r="C33" s="3">
        <v>37.266500000000001</v>
      </c>
      <c r="D33" t="str">
        <f t="shared" si="1"/>
        <v/>
      </c>
      <c r="F33" t="e">
        <f t="shared" si="2"/>
        <v>#N/A</v>
      </c>
      <c r="I33">
        <v>36.176499999999997</v>
      </c>
      <c r="J33" s="2" t="e">
        <f t="shared" si="3"/>
        <v>#N/A</v>
      </c>
    </row>
    <row r="34" spans="1:10" x14ac:dyDescent="0.25">
      <c r="A34" s="1">
        <v>0.63940972222222225</v>
      </c>
      <c r="B34" s="2">
        <f t="shared" ref="B34:B65" si="4">(A34-$A$2)*86400</f>
        <v>31.999999999998607</v>
      </c>
      <c r="C34" s="3">
        <v>38.127899999999997</v>
      </c>
      <c r="D34" t="str">
        <f t="shared" ref="D34:D65" si="5">IF(AND(C34&gt;C33,C34&gt;C35),"PEAK",
 IF(AND(C34&lt;C33,C34&lt;C35),"BOTTOM",""))</f>
        <v/>
      </c>
      <c r="E34">
        <v>1</v>
      </c>
      <c r="F34">
        <f t="shared" si="2"/>
        <v>38.127899999999997</v>
      </c>
      <c r="I34">
        <v>36.176499999999997</v>
      </c>
      <c r="J34" s="2">
        <f t="shared" si="3"/>
        <v>36.176499999999997</v>
      </c>
    </row>
    <row r="35" spans="1:10" x14ac:dyDescent="0.25">
      <c r="A35" s="1">
        <v>0.63942129629629629</v>
      </c>
      <c r="B35" s="2">
        <f t="shared" si="4"/>
        <v>32.999999999995566</v>
      </c>
      <c r="C35" s="3">
        <v>38.782699999999998</v>
      </c>
      <c r="D35" t="str">
        <f t="shared" si="5"/>
        <v/>
      </c>
      <c r="F35" t="e">
        <f t="shared" si="2"/>
        <v>#N/A</v>
      </c>
      <c r="I35">
        <v>36.176499999999997</v>
      </c>
      <c r="J35" s="2" t="e">
        <f t="shared" si="3"/>
        <v>#N/A</v>
      </c>
    </row>
    <row r="36" spans="1:10" x14ac:dyDescent="0.25">
      <c r="A36" s="1">
        <v>0.63943287037037033</v>
      </c>
      <c r="B36" s="2">
        <f t="shared" si="4"/>
        <v>33.999999999992525</v>
      </c>
      <c r="C36" s="3">
        <v>39.2453</v>
      </c>
      <c r="D36" t="str">
        <f t="shared" si="5"/>
        <v/>
      </c>
      <c r="E36">
        <v>1</v>
      </c>
      <c r="F36">
        <f t="shared" si="2"/>
        <v>39.2453</v>
      </c>
      <c r="I36">
        <v>36.176499999999997</v>
      </c>
      <c r="J36" s="2">
        <f t="shared" si="3"/>
        <v>36.176499999999997</v>
      </c>
    </row>
    <row r="37" spans="1:10" x14ac:dyDescent="0.25">
      <c r="A37" s="1">
        <v>0.63944444444444448</v>
      </c>
      <c r="B37" s="2">
        <f t="shared" si="4"/>
        <v>34.999999999999076</v>
      </c>
      <c r="C37" s="3">
        <v>39.517499999999998</v>
      </c>
      <c r="D37" t="str">
        <f t="shared" si="5"/>
        <v/>
      </c>
      <c r="F37" t="e">
        <f t="shared" si="2"/>
        <v>#N/A</v>
      </c>
      <c r="I37">
        <v>36.176499999999997</v>
      </c>
      <c r="J37" s="2" t="e">
        <f t="shared" si="3"/>
        <v>#N/A</v>
      </c>
    </row>
    <row r="38" spans="1:10" x14ac:dyDescent="0.25">
      <c r="A38" s="1">
        <v>0.63945601851851852</v>
      </c>
      <c r="B38" s="2">
        <f t="shared" si="4"/>
        <v>35.999999999996035</v>
      </c>
      <c r="C38" s="3">
        <v>39.664499999999997</v>
      </c>
      <c r="D38" t="str">
        <f t="shared" si="5"/>
        <v/>
      </c>
      <c r="F38" t="e">
        <f t="shared" si="2"/>
        <v>#N/A</v>
      </c>
      <c r="I38">
        <v>36.176499999999997</v>
      </c>
      <c r="J38" s="2" t="e">
        <f t="shared" si="3"/>
        <v>#N/A</v>
      </c>
    </row>
    <row r="39" spans="1:10" x14ac:dyDescent="0.25">
      <c r="A39" s="1">
        <v>0.63946759259259256</v>
      </c>
      <c r="B39" s="2">
        <f t="shared" si="4"/>
        <v>36.999999999992994</v>
      </c>
      <c r="C39" s="3">
        <v>39.710799999999999</v>
      </c>
      <c r="D39" t="str">
        <f t="shared" si="5"/>
        <v>PEAK</v>
      </c>
      <c r="E39">
        <v>1</v>
      </c>
      <c r="F39">
        <f t="shared" si="2"/>
        <v>39.710799999999999</v>
      </c>
      <c r="I39">
        <v>36.176499999999997</v>
      </c>
      <c r="J39" s="2">
        <f t="shared" si="3"/>
        <v>36.176499999999997</v>
      </c>
    </row>
    <row r="40" spans="1:10" x14ac:dyDescent="0.25">
      <c r="A40" s="1">
        <v>0.63947916666666671</v>
      </c>
      <c r="B40" s="2">
        <f t="shared" si="4"/>
        <v>37.999999999999545</v>
      </c>
      <c r="C40" s="3">
        <v>39.630899999999997</v>
      </c>
      <c r="D40" t="str">
        <f t="shared" si="5"/>
        <v/>
      </c>
      <c r="F40" t="e">
        <f t="shared" si="2"/>
        <v>#N/A</v>
      </c>
      <c r="I40">
        <v>36.176499999999997</v>
      </c>
      <c r="J40" s="2" t="e">
        <f t="shared" si="3"/>
        <v>#N/A</v>
      </c>
    </row>
    <row r="41" spans="1:10" x14ac:dyDescent="0.25">
      <c r="A41" s="1">
        <v>0.63949074074074075</v>
      </c>
      <c r="B41" s="2">
        <f t="shared" si="4"/>
        <v>38.999999999996504</v>
      </c>
      <c r="C41" s="3">
        <v>39.510300000000001</v>
      </c>
      <c r="D41" t="str">
        <f t="shared" si="5"/>
        <v/>
      </c>
      <c r="F41" t="e">
        <f t="shared" si="2"/>
        <v>#N/A</v>
      </c>
      <c r="I41">
        <v>36.176499999999997</v>
      </c>
      <c r="J41" s="2" t="e">
        <f t="shared" si="3"/>
        <v>#N/A</v>
      </c>
    </row>
    <row r="42" spans="1:10" x14ac:dyDescent="0.25">
      <c r="A42" s="1">
        <v>0.63950231481481479</v>
      </c>
      <c r="B42" s="2">
        <f t="shared" si="4"/>
        <v>39.999999999993463</v>
      </c>
      <c r="C42" s="3">
        <v>39.314700000000002</v>
      </c>
      <c r="D42" t="str">
        <f t="shared" si="5"/>
        <v/>
      </c>
      <c r="E42">
        <v>1</v>
      </c>
      <c r="F42">
        <f t="shared" si="2"/>
        <v>39.314700000000002</v>
      </c>
      <c r="I42">
        <v>36.176499999999997</v>
      </c>
      <c r="J42" s="2">
        <f t="shared" si="3"/>
        <v>36.176499999999997</v>
      </c>
    </row>
    <row r="43" spans="1:10" x14ac:dyDescent="0.25">
      <c r="A43" s="1">
        <v>0.63951388888888894</v>
      </c>
      <c r="B43" s="2">
        <f t="shared" si="4"/>
        <v>41.000000000000014</v>
      </c>
      <c r="C43" s="3">
        <v>39.086799999999997</v>
      </c>
      <c r="D43" t="str">
        <f t="shared" si="5"/>
        <v/>
      </c>
      <c r="F43" t="e">
        <f t="shared" si="2"/>
        <v>#N/A</v>
      </c>
      <c r="I43">
        <v>36.176499999999997</v>
      </c>
      <c r="J43" s="2" t="e">
        <f t="shared" si="3"/>
        <v>#N/A</v>
      </c>
    </row>
    <row r="44" spans="1:10" x14ac:dyDescent="0.25">
      <c r="A44" s="1">
        <v>0.63952546296296298</v>
      </c>
      <c r="B44" s="2">
        <f t="shared" si="4"/>
        <v>41.999999999996973</v>
      </c>
      <c r="C44" s="3">
        <v>38.815300000000001</v>
      </c>
      <c r="D44" t="str">
        <f t="shared" si="5"/>
        <v/>
      </c>
      <c r="F44" t="e">
        <f t="shared" si="2"/>
        <v>#N/A</v>
      </c>
      <c r="I44">
        <v>36.176499999999997</v>
      </c>
      <c r="J44" s="2" t="e">
        <f t="shared" si="3"/>
        <v>#N/A</v>
      </c>
    </row>
    <row r="45" spans="1:10" x14ac:dyDescent="0.25">
      <c r="A45" s="1">
        <v>0.63953703703703701</v>
      </c>
      <c r="B45" s="2">
        <f t="shared" si="4"/>
        <v>42.999999999993932</v>
      </c>
      <c r="C45" s="3">
        <v>38.502000000000002</v>
      </c>
      <c r="D45" t="str">
        <f t="shared" si="5"/>
        <v/>
      </c>
      <c r="F45" t="e">
        <f t="shared" si="2"/>
        <v>#N/A</v>
      </c>
      <c r="I45">
        <v>36.176499999999997</v>
      </c>
      <c r="J45" s="2" t="e">
        <f t="shared" si="3"/>
        <v>#N/A</v>
      </c>
    </row>
    <row r="46" spans="1:10" x14ac:dyDescent="0.25">
      <c r="A46" s="1">
        <v>0.63954861111111116</v>
      </c>
      <c r="B46" s="2">
        <f t="shared" si="4"/>
        <v>44.000000000000483</v>
      </c>
      <c r="C46" s="3">
        <v>38.156100000000002</v>
      </c>
      <c r="D46" t="str">
        <f t="shared" si="5"/>
        <v/>
      </c>
      <c r="E46">
        <v>1</v>
      </c>
      <c r="F46">
        <f t="shared" si="2"/>
        <v>38.156100000000002</v>
      </c>
      <c r="I46">
        <v>36.176499999999997</v>
      </c>
      <c r="J46" s="2">
        <f t="shared" si="3"/>
        <v>36.176499999999997</v>
      </c>
    </row>
    <row r="47" spans="1:10" x14ac:dyDescent="0.25">
      <c r="A47" s="1">
        <v>0.6395601851851852</v>
      </c>
      <c r="B47" s="2">
        <f t="shared" si="4"/>
        <v>44.999999999997442</v>
      </c>
      <c r="C47" s="3">
        <v>37.802100000000003</v>
      </c>
      <c r="D47" t="str">
        <f t="shared" si="5"/>
        <v/>
      </c>
      <c r="F47" t="e">
        <f t="shared" si="2"/>
        <v>#N/A</v>
      </c>
      <c r="I47">
        <v>36.176499999999997</v>
      </c>
      <c r="J47" s="2" t="e">
        <f t="shared" si="3"/>
        <v>#N/A</v>
      </c>
    </row>
    <row r="48" spans="1:10" x14ac:dyDescent="0.25">
      <c r="A48" s="1">
        <v>0.63957175925925924</v>
      </c>
      <c r="B48" s="2">
        <f t="shared" si="4"/>
        <v>45.999999999994401</v>
      </c>
      <c r="C48" s="3">
        <v>37.444000000000003</v>
      </c>
      <c r="D48" t="str">
        <f t="shared" si="5"/>
        <v/>
      </c>
      <c r="F48" t="e">
        <f t="shared" si="2"/>
        <v>#N/A</v>
      </c>
      <c r="I48">
        <v>36.176499999999997</v>
      </c>
      <c r="J48" s="2" t="e">
        <f t="shared" si="3"/>
        <v>#N/A</v>
      </c>
    </row>
    <row r="49" spans="1:10" x14ac:dyDescent="0.25">
      <c r="A49" s="1">
        <v>0.63958333333333328</v>
      </c>
      <c r="B49" s="2">
        <f t="shared" si="4"/>
        <v>46.99999999999136</v>
      </c>
      <c r="C49" s="3">
        <v>37.079799999999999</v>
      </c>
      <c r="D49" t="str">
        <f t="shared" si="5"/>
        <v/>
      </c>
      <c r="F49" t="e">
        <f t="shared" si="2"/>
        <v>#N/A</v>
      </c>
      <c r="I49">
        <v>36.176499999999997</v>
      </c>
      <c r="J49" s="2" t="e">
        <f t="shared" si="3"/>
        <v>#N/A</v>
      </c>
    </row>
    <row r="50" spans="1:10" x14ac:dyDescent="0.25">
      <c r="A50" s="1">
        <v>0.63959490740740743</v>
      </c>
      <c r="B50" s="2">
        <f t="shared" si="4"/>
        <v>47.999999999997911</v>
      </c>
      <c r="C50" s="3">
        <v>36.694800000000001</v>
      </c>
      <c r="D50" t="str">
        <f t="shared" si="5"/>
        <v/>
      </c>
      <c r="F50" t="e">
        <f t="shared" si="2"/>
        <v>#N/A</v>
      </c>
      <c r="I50">
        <v>36.176499999999997</v>
      </c>
      <c r="J50" s="2" t="e">
        <f t="shared" si="3"/>
        <v>#N/A</v>
      </c>
    </row>
    <row r="51" spans="1:10" x14ac:dyDescent="0.25">
      <c r="A51" s="1">
        <v>0.63960648148148147</v>
      </c>
      <c r="B51" s="2">
        <f t="shared" si="4"/>
        <v>48.99999999999487</v>
      </c>
      <c r="C51" s="3">
        <v>36.345999999999997</v>
      </c>
      <c r="D51" t="str">
        <f t="shared" si="5"/>
        <v/>
      </c>
      <c r="E51">
        <v>1</v>
      </c>
      <c r="F51">
        <f t="shared" si="2"/>
        <v>36.345999999999997</v>
      </c>
      <c r="I51">
        <v>36.176499999999997</v>
      </c>
      <c r="J51" s="2">
        <f t="shared" si="3"/>
        <v>36.176499999999997</v>
      </c>
    </row>
    <row r="52" spans="1:10" x14ac:dyDescent="0.25">
      <c r="A52" s="1">
        <v>0.63961805555555551</v>
      </c>
      <c r="B52" s="2">
        <f t="shared" si="4"/>
        <v>49.999999999991829</v>
      </c>
      <c r="C52" s="3">
        <v>35.967599999999997</v>
      </c>
      <c r="D52" t="str">
        <f t="shared" si="5"/>
        <v/>
      </c>
      <c r="F52" t="e">
        <f t="shared" si="2"/>
        <v>#N/A</v>
      </c>
      <c r="I52">
        <v>36.176499999999997</v>
      </c>
      <c r="J52" s="2" t="e">
        <f t="shared" si="3"/>
        <v>#N/A</v>
      </c>
    </row>
    <row r="53" spans="1:10" x14ac:dyDescent="0.25">
      <c r="A53" s="1">
        <v>0.63962962962962966</v>
      </c>
      <c r="B53" s="2">
        <f t="shared" si="4"/>
        <v>50.99999999999838</v>
      </c>
      <c r="C53" s="3">
        <v>35.642400000000002</v>
      </c>
      <c r="D53" t="str">
        <f t="shared" si="5"/>
        <v/>
      </c>
      <c r="F53" t="e">
        <f t="shared" si="2"/>
        <v>#N/A</v>
      </c>
      <c r="I53">
        <v>36.176499999999997</v>
      </c>
      <c r="J53" s="2" t="e">
        <f t="shared" si="3"/>
        <v>#N/A</v>
      </c>
    </row>
    <row r="54" spans="1:10" x14ac:dyDescent="0.25">
      <c r="A54" s="1">
        <v>0.6396412037037037</v>
      </c>
      <c r="B54" s="2">
        <f t="shared" si="4"/>
        <v>51.999999999995339</v>
      </c>
      <c r="C54" s="3">
        <v>35.456400000000002</v>
      </c>
      <c r="D54" t="str">
        <f t="shared" si="5"/>
        <v>BOTTOM</v>
      </c>
      <c r="E54">
        <v>1</v>
      </c>
      <c r="F54">
        <f t="shared" si="2"/>
        <v>35.456400000000002</v>
      </c>
      <c r="I54">
        <v>36.176499999999997</v>
      </c>
      <c r="J54" s="2">
        <f t="shared" si="3"/>
        <v>36.176499999999997</v>
      </c>
    </row>
    <row r="55" spans="1:10" x14ac:dyDescent="0.25">
      <c r="A55" s="1">
        <v>0.63965277777777774</v>
      </c>
      <c r="B55" s="2">
        <f t="shared" si="4"/>
        <v>52.999999999992298</v>
      </c>
      <c r="C55" s="3">
        <v>35.584299999999999</v>
      </c>
      <c r="D55" t="str">
        <f t="shared" si="5"/>
        <v/>
      </c>
      <c r="F55" t="e">
        <f t="shared" si="2"/>
        <v>#N/A</v>
      </c>
      <c r="I55">
        <v>36.176499999999997</v>
      </c>
      <c r="J55" s="2" t="e">
        <f t="shared" si="3"/>
        <v>#N/A</v>
      </c>
    </row>
    <row r="56" spans="1:10" x14ac:dyDescent="0.25">
      <c r="A56" s="1">
        <v>0.63966435185185189</v>
      </c>
      <c r="B56" s="2">
        <f t="shared" si="4"/>
        <v>53.999999999998849</v>
      </c>
      <c r="C56" s="3">
        <v>36.036000000000001</v>
      </c>
      <c r="D56" t="str">
        <f t="shared" si="5"/>
        <v/>
      </c>
      <c r="E56">
        <v>1</v>
      </c>
      <c r="F56">
        <f t="shared" si="2"/>
        <v>36.036000000000001</v>
      </c>
      <c r="I56">
        <v>36.176499999999997</v>
      </c>
      <c r="J56" s="2">
        <f t="shared" si="3"/>
        <v>36.176499999999997</v>
      </c>
    </row>
    <row r="57" spans="1:10" x14ac:dyDescent="0.25">
      <c r="A57" s="1">
        <v>0.63967592592592593</v>
      </c>
      <c r="B57" s="2">
        <f t="shared" si="4"/>
        <v>54.999999999995808</v>
      </c>
      <c r="C57" s="3">
        <v>36.7303</v>
      </c>
      <c r="D57" t="str">
        <f t="shared" si="5"/>
        <v/>
      </c>
      <c r="F57" t="e">
        <f t="shared" si="2"/>
        <v>#N/A</v>
      </c>
      <c r="I57">
        <v>36.176499999999997</v>
      </c>
      <c r="J57" s="2" t="e">
        <f t="shared" si="3"/>
        <v>#N/A</v>
      </c>
    </row>
    <row r="58" spans="1:10" x14ac:dyDescent="0.25">
      <c r="A58" s="1">
        <v>0.63968749999999996</v>
      </c>
      <c r="B58" s="2">
        <f t="shared" si="4"/>
        <v>55.999999999992767</v>
      </c>
      <c r="C58" s="3">
        <v>37.604100000000003</v>
      </c>
      <c r="D58" t="str">
        <f t="shared" si="5"/>
        <v/>
      </c>
      <c r="F58" t="e">
        <f t="shared" si="2"/>
        <v>#N/A</v>
      </c>
      <c r="I58">
        <v>36.176499999999997</v>
      </c>
      <c r="J58" s="2" t="e">
        <f t="shared" si="3"/>
        <v>#N/A</v>
      </c>
    </row>
    <row r="59" spans="1:10" x14ac:dyDescent="0.25">
      <c r="A59" s="1">
        <v>0.63969907407407411</v>
      </c>
      <c r="B59" s="2">
        <f t="shared" si="4"/>
        <v>56.999999999999318</v>
      </c>
      <c r="C59" s="3">
        <v>38.4773</v>
      </c>
      <c r="D59" t="str">
        <f t="shared" si="5"/>
        <v/>
      </c>
      <c r="E59">
        <v>1</v>
      </c>
      <c r="F59">
        <f t="shared" si="2"/>
        <v>38.4773</v>
      </c>
      <c r="I59">
        <v>36.176499999999997</v>
      </c>
      <c r="J59" s="2">
        <f t="shared" si="3"/>
        <v>36.176499999999997</v>
      </c>
    </row>
    <row r="60" spans="1:10" x14ac:dyDescent="0.25">
      <c r="A60" s="1">
        <v>0.63971064814814815</v>
      </c>
      <c r="B60" s="2">
        <f t="shared" si="4"/>
        <v>57.999999999996277</v>
      </c>
      <c r="C60" s="3">
        <v>39.151299999999999</v>
      </c>
      <c r="D60" t="str">
        <f t="shared" si="5"/>
        <v/>
      </c>
      <c r="F60" t="e">
        <f t="shared" si="2"/>
        <v>#N/A</v>
      </c>
      <c r="I60">
        <v>36.176499999999997</v>
      </c>
      <c r="J60" s="2" t="e">
        <f t="shared" si="3"/>
        <v>#N/A</v>
      </c>
    </row>
    <row r="61" spans="1:10" x14ac:dyDescent="0.25">
      <c r="A61" s="1">
        <v>0.63972222222222219</v>
      </c>
      <c r="B61" s="2">
        <f t="shared" si="4"/>
        <v>58.999999999993236</v>
      </c>
      <c r="C61" s="3">
        <v>39.603999999999999</v>
      </c>
      <c r="D61" t="str">
        <f t="shared" si="5"/>
        <v/>
      </c>
      <c r="E61">
        <v>1</v>
      </c>
      <c r="F61">
        <f t="shared" si="2"/>
        <v>39.603999999999999</v>
      </c>
      <c r="I61">
        <v>36.176499999999997</v>
      </c>
      <c r="J61" s="2">
        <f t="shared" si="3"/>
        <v>36.176499999999997</v>
      </c>
    </row>
    <row r="62" spans="1:10" x14ac:dyDescent="0.25">
      <c r="A62" s="1">
        <v>0.63973379629629634</v>
      </c>
      <c r="B62" s="2">
        <f t="shared" si="4"/>
        <v>59.999999999999787</v>
      </c>
      <c r="C62" s="3">
        <v>39.8598</v>
      </c>
      <c r="D62" t="str">
        <f t="shared" si="5"/>
        <v/>
      </c>
      <c r="F62" t="e">
        <f t="shared" si="2"/>
        <v>#N/A</v>
      </c>
      <c r="I62">
        <v>36.176499999999997</v>
      </c>
      <c r="J62" s="2" t="e">
        <f t="shared" si="3"/>
        <v>#N/A</v>
      </c>
    </row>
    <row r="63" spans="1:10" x14ac:dyDescent="0.25">
      <c r="A63" s="1">
        <v>0.63974537037037038</v>
      </c>
      <c r="B63" s="2">
        <f t="shared" si="4"/>
        <v>60.999999999996746</v>
      </c>
      <c r="C63" s="3">
        <v>39.982399999999998</v>
      </c>
      <c r="D63" t="str">
        <f t="shared" si="5"/>
        <v/>
      </c>
      <c r="F63" t="e">
        <f t="shared" si="2"/>
        <v>#N/A</v>
      </c>
      <c r="I63">
        <v>36.176499999999997</v>
      </c>
      <c r="J63" s="2" t="e">
        <f t="shared" si="3"/>
        <v>#N/A</v>
      </c>
    </row>
    <row r="64" spans="1:10" x14ac:dyDescent="0.25">
      <c r="A64" s="1">
        <v>0.63975694444444442</v>
      </c>
      <c r="B64" s="2">
        <f t="shared" si="4"/>
        <v>61.999999999993705</v>
      </c>
      <c r="C64" s="3">
        <v>39.996499999999997</v>
      </c>
      <c r="D64" t="str">
        <f t="shared" si="5"/>
        <v>PEAK</v>
      </c>
      <c r="E64">
        <v>1</v>
      </c>
      <c r="F64">
        <f t="shared" si="2"/>
        <v>39.996499999999997</v>
      </c>
      <c r="I64">
        <v>36.176499999999997</v>
      </c>
      <c r="J64" s="2">
        <f t="shared" si="3"/>
        <v>36.176499999999997</v>
      </c>
    </row>
    <row r="65" spans="1:10" x14ac:dyDescent="0.25">
      <c r="A65" s="1">
        <v>0.63976851851851857</v>
      </c>
      <c r="B65" s="2">
        <f t="shared" si="4"/>
        <v>63.000000000000256</v>
      </c>
      <c r="C65" s="3">
        <v>39.905799999999999</v>
      </c>
      <c r="D65" t="str">
        <f t="shared" si="5"/>
        <v/>
      </c>
      <c r="F65" t="e">
        <f t="shared" si="2"/>
        <v>#N/A</v>
      </c>
      <c r="I65">
        <v>36.176499999999997</v>
      </c>
      <c r="J65" s="2" t="e">
        <f t="shared" si="3"/>
        <v>#N/A</v>
      </c>
    </row>
    <row r="66" spans="1:10" x14ac:dyDescent="0.25">
      <c r="A66" s="1">
        <v>0.63978009259259261</v>
      </c>
      <c r="B66" s="2">
        <f t="shared" ref="B66:B97" si="6">(A66-$A$2)*86400</f>
        <v>63.999999999997215</v>
      </c>
      <c r="C66" s="3">
        <v>39.742699999999999</v>
      </c>
      <c r="D66" t="str">
        <f t="shared" ref="D66:D97" si="7">IF(AND(C66&gt;C65,C66&gt;C67),"PEAK",
 IF(AND(C66&lt;C65,C66&lt;C67),"BOTTOM",""))</f>
        <v/>
      </c>
      <c r="F66" t="e">
        <f t="shared" si="2"/>
        <v>#N/A</v>
      </c>
      <c r="I66">
        <v>36.176499999999997</v>
      </c>
      <c r="J66" s="2" t="e">
        <f t="shared" si="3"/>
        <v>#N/A</v>
      </c>
    </row>
    <row r="67" spans="1:10" x14ac:dyDescent="0.25">
      <c r="A67" s="1">
        <v>0.63979166666666665</v>
      </c>
      <c r="B67" s="2">
        <f t="shared" si="6"/>
        <v>64.999999999994174</v>
      </c>
      <c r="C67" s="3">
        <v>39.5182</v>
      </c>
      <c r="D67" t="str">
        <f t="shared" si="7"/>
        <v/>
      </c>
      <c r="E67">
        <v>1</v>
      </c>
      <c r="F67">
        <f t="shared" si="2"/>
        <v>39.5182</v>
      </c>
      <c r="I67">
        <v>36.176499999999997</v>
      </c>
      <c r="J67" s="2">
        <f t="shared" si="3"/>
        <v>36.176499999999997</v>
      </c>
    </row>
    <row r="68" spans="1:10" x14ac:dyDescent="0.25">
      <c r="A68" s="1">
        <v>0.63980324074074069</v>
      </c>
      <c r="B68" s="2">
        <f t="shared" si="6"/>
        <v>65.999999999991132</v>
      </c>
      <c r="C68" s="3">
        <v>39.216000000000001</v>
      </c>
      <c r="D68" t="str">
        <f t="shared" si="7"/>
        <v/>
      </c>
      <c r="F68" t="e">
        <f t="shared" ref="F68:F122" si="8">IF(E68=1,C68,NA())</f>
        <v>#N/A</v>
      </c>
      <c r="I68">
        <v>36.176499999999997</v>
      </c>
      <c r="J68" s="2" t="e">
        <f t="shared" ref="J68:J131" si="9">IF(E68=1,I68,NA())</f>
        <v>#N/A</v>
      </c>
    </row>
    <row r="69" spans="1:10" x14ac:dyDescent="0.25">
      <c r="A69" s="1">
        <v>0.63981481481481484</v>
      </c>
      <c r="B69" s="2">
        <f t="shared" si="6"/>
        <v>66.999999999997684</v>
      </c>
      <c r="C69" s="3">
        <v>38.897199999999998</v>
      </c>
      <c r="D69" t="str">
        <f t="shared" si="7"/>
        <v/>
      </c>
      <c r="F69" t="e">
        <f t="shared" si="8"/>
        <v>#N/A</v>
      </c>
      <c r="I69">
        <v>36.176499999999997</v>
      </c>
      <c r="J69" s="2" t="e">
        <f t="shared" si="9"/>
        <v>#N/A</v>
      </c>
    </row>
    <row r="70" spans="1:10" x14ac:dyDescent="0.25">
      <c r="A70" s="1">
        <v>0.63982638888888888</v>
      </c>
      <c r="B70" s="2">
        <f t="shared" si="6"/>
        <v>67.999999999994643</v>
      </c>
      <c r="C70" s="3">
        <v>38.571399999999997</v>
      </c>
      <c r="D70" t="str">
        <f t="shared" si="7"/>
        <v/>
      </c>
      <c r="F70" t="e">
        <f t="shared" si="8"/>
        <v>#N/A</v>
      </c>
      <c r="I70">
        <v>36.176499999999997</v>
      </c>
      <c r="J70" s="2" t="e">
        <f t="shared" si="9"/>
        <v>#N/A</v>
      </c>
    </row>
    <row r="71" spans="1:10" x14ac:dyDescent="0.25">
      <c r="A71" s="1">
        <v>0.63983796296296291</v>
      </c>
      <c r="B71" s="2">
        <f t="shared" si="6"/>
        <v>68.999999999991601</v>
      </c>
      <c r="C71" s="3">
        <v>38.247500000000002</v>
      </c>
      <c r="D71" t="str">
        <f t="shared" si="7"/>
        <v/>
      </c>
      <c r="F71" t="e">
        <f t="shared" si="8"/>
        <v>#N/A</v>
      </c>
      <c r="I71">
        <v>36.176499999999997</v>
      </c>
      <c r="J71" s="2" t="e">
        <f t="shared" si="9"/>
        <v>#N/A</v>
      </c>
    </row>
    <row r="72" spans="1:10" x14ac:dyDescent="0.25">
      <c r="A72" s="1">
        <v>0.63984953703703706</v>
      </c>
      <c r="B72" s="2">
        <f t="shared" si="6"/>
        <v>69.999999999998153</v>
      </c>
      <c r="C72" s="3">
        <v>37.8688</v>
      </c>
      <c r="D72" t="str">
        <f t="shared" si="7"/>
        <v/>
      </c>
      <c r="E72">
        <v>1</v>
      </c>
      <c r="F72">
        <f t="shared" si="8"/>
        <v>37.8688</v>
      </c>
      <c r="I72">
        <v>36.176499999999997</v>
      </c>
      <c r="J72" s="2">
        <f t="shared" si="9"/>
        <v>36.176499999999997</v>
      </c>
    </row>
    <row r="73" spans="1:10" x14ac:dyDescent="0.25">
      <c r="A73" s="1">
        <v>0.6398611111111111</v>
      </c>
      <c r="B73" s="2">
        <f t="shared" si="6"/>
        <v>70.999999999995111</v>
      </c>
      <c r="C73" s="3">
        <v>37.488799999999998</v>
      </c>
      <c r="D73" t="str">
        <f t="shared" si="7"/>
        <v/>
      </c>
      <c r="F73" t="e">
        <f t="shared" si="8"/>
        <v>#N/A</v>
      </c>
      <c r="I73">
        <v>36.176499999999997</v>
      </c>
      <c r="J73" s="2" t="e">
        <f t="shared" si="9"/>
        <v>#N/A</v>
      </c>
    </row>
    <row r="74" spans="1:10" x14ac:dyDescent="0.25">
      <c r="A74" s="1">
        <v>0.63987268518518514</v>
      </c>
      <c r="B74" s="2">
        <f t="shared" si="6"/>
        <v>71.99999999999207</v>
      </c>
      <c r="C74" s="3">
        <v>37.097499999999997</v>
      </c>
      <c r="D74" t="str">
        <f t="shared" si="7"/>
        <v/>
      </c>
      <c r="F74" t="e">
        <f t="shared" si="8"/>
        <v>#N/A</v>
      </c>
      <c r="I74">
        <v>36.176499999999997</v>
      </c>
      <c r="J74" s="2" t="e">
        <f t="shared" si="9"/>
        <v>#N/A</v>
      </c>
    </row>
    <row r="75" spans="1:10" x14ac:dyDescent="0.25">
      <c r="A75" s="1">
        <v>0.63988425925925929</v>
      </c>
      <c r="B75" s="2">
        <f t="shared" si="6"/>
        <v>72.999999999998622</v>
      </c>
      <c r="C75" s="3">
        <v>36.708599999999997</v>
      </c>
      <c r="D75" t="str">
        <f t="shared" si="7"/>
        <v/>
      </c>
      <c r="F75" t="e">
        <f t="shared" si="8"/>
        <v>#N/A</v>
      </c>
      <c r="I75">
        <v>36.176499999999997</v>
      </c>
      <c r="J75" s="2" t="e">
        <f t="shared" si="9"/>
        <v>#N/A</v>
      </c>
    </row>
    <row r="76" spans="1:10" x14ac:dyDescent="0.25">
      <c r="A76" s="1">
        <v>0.63989583333333333</v>
      </c>
      <c r="B76" s="2">
        <f t="shared" si="6"/>
        <v>73.99999999999558</v>
      </c>
      <c r="C76" s="3">
        <v>36.327599999999997</v>
      </c>
      <c r="D76" t="str">
        <f t="shared" si="7"/>
        <v/>
      </c>
      <c r="E76">
        <v>1</v>
      </c>
      <c r="F76">
        <f t="shared" si="8"/>
        <v>36.327599999999997</v>
      </c>
      <c r="I76">
        <v>36.176499999999997</v>
      </c>
      <c r="J76" s="2">
        <f t="shared" si="9"/>
        <v>36.176499999999997</v>
      </c>
    </row>
    <row r="77" spans="1:10" x14ac:dyDescent="0.25">
      <c r="A77" s="1">
        <v>0.63990740740740737</v>
      </c>
      <c r="B77" s="2">
        <f t="shared" si="6"/>
        <v>74.999999999992539</v>
      </c>
      <c r="C77" s="3">
        <v>35.945599999999999</v>
      </c>
      <c r="D77" t="str">
        <f t="shared" si="7"/>
        <v/>
      </c>
      <c r="F77" t="e">
        <f t="shared" si="8"/>
        <v>#N/A</v>
      </c>
      <c r="I77">
        <v>36.176499999999997</v>
      </c>
      <c r="J77" s="2" t="e">
        <f t="shared" si="9"/>
        <v>#N/A</v>
      </c>
    </row>
    <row r="78" spans="1:10" x14ac:dyDescent="0.25">
      <c r="A78" s="1">
        <v>0.63991898148148152</v>
      </c>
      <c r="B78" s="2">
        <f t="shared" si="6"/>
        <v>75.999999999999091</v>
      </c>
      <c r="C78" s="3">
        <v>35.593800000000002</v>
      </c>
      <c r="D78" t="str">
        <f t="shared" si="7"/>
        <v/>
      </c>
      <c r="F78" t="e">
        <f t="shared" si="8"/>
        <v>#N/A</v>
      </c>
      <c r="I78">
        <v>36.176499999999997</v>
      </c>
      <c r="J78" s="2" t="e">
        <f t="shared" si="9"/>
        <v>#N/A</v>
      </c>
    </row>
    <row r="79" spans="1:10" x14ac:dyDescent="0.25">
      <c r="A79" s="1">
        <v>0.63993055555555556</v>
      </c>
      <c r="B79" s="2">
        <f t="shared" si="6"/>
        <v>76.999999999996049</v>
      </c>
      <c r="C79" s="3">
        <v>35.397500000000001</v>
      </c>
      <c r="D79" t="str">
        <f t="shared" si="7"/>
        <v>BOTTOM</v>
      </c>
      <c r="E79">
        <v>1</v>
      </c>
      <c r="F79">
        <f t="shared" si="8"/>
        <v>35.397500000000001</v>
      </c>
      <c r="I79">
        <v>36.176499999999997</v>
      </c>
      <c r="J79" s="2">
        <f t="shared" si="9"/>
        <v>36.176499999999997</v>
      </c>
    </row>
    <row r="80" spans="1:10" x14ac:dyDescent="0.25">
      <c r="A80" s="1">
        <v>0.6399421296296296</v>
      </c>
      <c r="B80" s="2">
        <f t="shared" si="6"/>
        <v>77.999999999993008</v>
      </c>
      <c r="C80" s="3">
        <v>35.528700000000001</v>
      </c>
      <c r="D80" t="str">
        <f t="shared" si="7"/>
        <v/>
      </c>
      <c r="F80" t="e">
        <f t="shared" si="8"/>
        <v>#N/A</v>
      </c>
      <c r="I80">
        <v>36.176499999999997</v>
      </c>
      <c r="J80" s="2" t="e">
        <f t="shared" si="9"/>
        <v>#N/A</v>
      </c>
    </row>
    <row r="81" spans="1:10" x14ac:dyDescent="0.25">
      <c r="A81" s="1">
        <v>0.63995370370370375</v>
      </c>
      <c r="B81" s="2">
        <f t="shared" si="6"/>
        <v>78.999999999999559</v>
      </c>
      <c r="C81" s="3">
        <v>35.974800000000002</v>
      </c>
      <c r="D81" t="str">
        <f t="shared" si="7"/>
        <v/>
      </c>
      <c r="E81">
        <v>1</v>
      </c>
      <c r="F81">
        <f t="shared" si="8"/>
        <v>35.974800000000002</v>
      </c>
      <c r="I81">
        <v>36.176499999999997</v>
      </c>
      <c r="J81" s="2">
        <f t="shared" si="9"/>
        <v>36.176499999999997</v>
      </c>
    </row>
    <row r="82" spans="1:10" x14ac:dyDescent="0.25">
      <c r="A82" s="1">
        <v>0.63996527777777779</v>
      </c>
      <c r="B82" s="2">
        <f t="shared" si="6"/>
        <v>79.999999999996518</v>
      </c>
      <c r="C82" s="3">
        <v>36.653399999999998</v>
      </c>
      <c r="D82" t="str">
        <f t="shared" si="7"/>
        <v/>
      </c>
      <c r="F82" t="e">
        <f t="shared" si="8"/>
        <v>#N/A</v>
      </c>
      <c r="I82">
        <v>36.176499999999997</v>
      </c>
      <c r="J82" s="2" t="e">
        <f t="shared" si="9"/>
        <v>#N/A</v>
      </c>
    </row>
    <row r="83" spans="1:10" x14ac:dyDescent="0.25">
      <c r="A83" s="1">
        <v>0.63997685185185182</v>
      </c>
      <c r="B83" s="2">
        <f t="shared" si="6"/>
        <v>80.999999999993477</v>
      </c>
      <c r="C83" s="3">
        <v>37.497300000000003</v>
      </c>
      <c r="D83" t="str">
        <f t="shared" si="7"/>
        <v/>
      </c>
      <c r="E83">
        <v>1</v>
      </c>
      <c r="F83">
        <f t="shared" si="8"/>
        <v>37.497300000000003</v>
      </c>
      <c r="I83">
        <v>36.176499999999997</v>
      </c>
      <c r="J83" s="2">
        <f t="shared" si="9"/>
        <v>36.176499999999997</v>
      </c>
    </row>
    <row r="84" spans="1:10" x14ac:dyDescent="0.25">
      <c r="A84" s="1">
        <v>0.63998842592592597</v>
      </c>
      <c r="B84" s="2">
        <f t="shared" si="6"/>
        <v>82.000000000000028</v>
      </c>
      <c r="C84" s="3">
        <v>38.364899999999999</v>
      </c>
      <c r="D84" t="str">
        <f t="shared" si="7"/>
        <v/>
      </c>
      <c r="F84" t="e">
        <f t="shared" si="8"/>
        <v>#N/A</v>
      </c>
      <c r="I84">
        <v>36.176499999999997</v>
      </c>
      <c r="J84" s="2" t="e">
        <f t="shared" si="9"/>
        <v>#N/A</v>
      </c>
    </row>
    <row r="85" spans="1:10" x14ac:dyDescent="0.25">
      <c r="A85" s="1">
        <v>0.64</v>
      </c>
      <c r="B85" s="2">
        <f t="shared" si="6"/>
        <v>82.999999999996987</v>
      </c>
      <c r="C85" s="3">
        <v>39.0336</v>
      </c>
      <c r="D85" t="str">
        <f t="shared" si="7"/>
        <v/>
      </c>
      <c r="F85" t="e">
        <f t="shared" si="8"/>
        <v>#N/A</v>
      </c>
      <c r="I85">
        <v>36.176499999999997</v>
      </c>
      <c r="J85" s="2" t="e">
        <f t="shared" si="9"/>
        <v>#N/A</v>
      </c>
    </row>
    <row r="86" spans="1:10" x14ac:dyDescent="0.25">
      <c r="A86" s="1">
        <v>0.64001157407407405</v>
      </c>
      <c r="B86" s="2">
        <f t="shared" si="6"/>
        <v>83.999999999993946</v>
      </c>
      <c r="C86" s="3">
        <v>39.473100000000002</v>
      </c>
      <c r="D86" t="str">
        <f t="shared" si="7"/>
        <v/>
      </c>
      <c r="E86">
        <v>1</v>
      </c>
      <c r="F86">
        <f t="shared" si="8"/>
        <v>39.473100000000002</v>
      </c>
      <c r="I86">
        <v>36.176499999999997</v>
      </c>
      <c r="J86" s="2">
        <f t="shared" si="9"/>
        <v>36.176499999999997</v>
      </c>
    </row>
    <row r="87" spans="1:10" x14ac:dyDescent="0.25">
      <c r="A87" s="1">
        <v>0.6400231481481482</v>
      </c>
      <c r="B87" s="2">
        <f t="shared" si="6"/>
        <v>85.000000000000497</v>
      </c>
      <c r="C87" s="3">
        <v>39.747300000000003</v>
      </c>
      <c r="D87" t="str">
        <f t="shared" si="7"/>
        <v/>
      </c>
      <c r="F87" t="e">
        <f t="shared" si="8"/>
        <v>#N/A</v>
      </c>
      <c r="I87">
        <v>36.176499999999997</v>
      </c>
      <c r="J87" s="2" t="e">
        <f t="shared" si="9"/>
        <v>#N/A</v>
      </c>
    </row>
    <row r="88" spans="1:10" x14ac:dyDescent="0.25">
      <c r="A88" s="1">
        <v>0.64003472222222224</v>
      </c>
      <c r="B88" s="2">
        <f t="shared" si="6"/>
        <v>85.999999999997456</v>
      </c>
      <c r="C88" s="3">
        <v>39.882800000000003</v>
      </c>
      <c r="D88" t="str">
        <f t="shared" si="7"/>
        <v/>
      </c>
      <c r="F88" t="e">
        <f t="shared" si="8"/>
        <v>#N/A</v>
      </c>
      <c r="I88">
        <v>36.176499999999997</v>
      </c>
      <c r="J88" s="2" t="e">
        <f t="shared" si="9"/>
        <v>#N/A</v>
      </c>
    </row>
    <row r="89" spans="1:10" x14ac:dyDescent="0.25">
      <c r="A89" s="1">
        <v>0.64004629629629628</v>
      </c>
      <c r="B89" s="2">
        <f t="shared" si="6"/>
        <v>86.999999999994415</v>
      </c>
      <c r="C89" s="3">
        <v>39.9114</v>
      </c>
      <c r="D89" t="str">
        <f t="shared" si="7"/>
        <v>PEAK</v>
      </c>
      <c r="E89">
        <v>1</v>
      </c>
      <c r="F89">
        <f t="shared" si="8"/>
        <v>39.9114</v>
      </c>
      <c r="I89">
        <v>36.176499999999997</v>
      </c>
      <c r="J89" s="2">
        <f t="shared" si="9"/>
        <v>36.176499999999997</v>
      </c>
    </row>
    <row r="90" spans="1:10" x14ac:dyDescent="0.25">
      <c r="A90" s="1">
        <v>0.64005787037037032</v>
      </c>
      <c r="B90" s="2">
        <f t="shared" si="6"/>
        <v>87.999999999991374</v>
      </c>
      <c r="C90" s="3">
        <v>39.840699999999998</v>
      </c>
      <c r="D90" t="str">
        <f t="shared" si="7"/>
        <v/>
      </c>
      <c r="F90" t="e">
        <f t="shared" si="8"/>
        <v>#N/A</v>
      </c>
      <c r="I90">
        <v>36.176499999999997</v>
      </c>
      <c r="J90" s="2" t="e">
        <f t="shared" si="9"/>
        <v>#N/A</v>
      </c>
    </row>
    <row r="91" spans="1:10" x14ac:dyDescent="0.25">
      <c r="A91" s="1">
        <v>0.64006944444444447</v>
      </c>
      <c r="B91" s="2">
        <f t="shared" si="6"/>
        <v>88.999999999997925</v>
      </c>
      <c r="C91" s="3">
        <v>39.7256</v>
      </c>
      <c r="D91" t="str">
        <f t="shared" si="7"/>
        <v/>
      </c>
      <c r="F91" t="e">
        <f t="shared" si="8"/>
        <v>#N/A</v>
      </c>
      <c r="I91">
        <v>36.176499999999997</v>
      </c>
      <c r="J91" s="2" t="e">
        <f t="shared" si="9"/>
        <v>#N/A</v>
      </c>
    </row>
    <row r="92" spans="1:10" x14ac:dyDescent="0.25">
      <c r="A92" s="1">
        <v>0.64008101851851851</v>
      </c>
      <c r="B92" s="2">
        <f t="shared" si="6"/>
        <v>89.999999999994884</v>
      </c>
      <c r="C92" s="3">
        <v>39.525100000000002</v>
      </c>
      <c r="D92" t="str">
        <f t="shared" si="7"/>
        <v/>
      </c>
      <c r="E92">
        <v>1</v>
      </c>
      <c r="F92">
        <f t="shared" si="8"/>
        <v>39.525100000000002</v>
      </c>
      <c r="I92">
        <v>36.176499999999997</v>
      </c>
      <c r="J92" s="2">
        <f t="shared" si="9"/>
        <v>36.176499999999997</v>
      </c>
    </row>
    <row r="93" spans="1:10" x14ac:dyDescent="0.25">
      <c r="A93" s="1">
        <v>0.64009259259259255</v>
      </c>
      <c r="B93" s="2">
        <f t="shared" si="6"/>
        <v>90.999999999991843</v>
      </c>
      <c r="C93" s="3">
        <v>39.264000000000003</v>
      </c>
      <c r="D93" t="str">
        <f t="shared" si="7"/>
        <v/>
      </c>
      <c r="F93" t="e">
        <f t="shared" si="8"/>
        <v>#N/A</v>
      </c>
      <c r="I93">
        <v>36.176499999999997</v>
      </c>
      <c r="J93" s="2" t="e">
        <f t="shared" si="9"/>
        <v>#N/A</v>
      </c>
    </row>
    <row r="94" spans="1:10" x14ac:dyDescent="0.25">
      <c r="A94" s="1">
        <v>0.6401041666666667</v>
      </c>
      <c r="B94" s="2">
        <f t="shared" si="6"/>
        <v>91.999999999998394</v>
      </c>
      <c r="C94" s="3">
        <v>38.9724</v>
      </c>
      <c r="D94" t="str">
        <f t="shared" si="7"/>
        <v/>
      </c>
      <c r="F94" t="e">
        <f t="shared" si="8"/>
        <v>#N/A</v>
      </c>
      <c r="I94">
        <v>36.176499999999997</v>
      </c>
      <c r="J94" s="2" t="e">
        <f t="shared" si="9"/>
        <v>#N/A</v>
      </c>
    </row>
    <row r="95" spans="1:10" x14ac:dyDescent="0.25">
      <c r="A95" s="1">
        <v>0.64011574074074074</v>
      </c>
      <c r="B95" s="2">
        <f t="shared" si="6"/>
        <v>92.999999999995353</v>
      </c>
      <c r="C95" s="3">
        <v>38.634500000000003</v>
      </c>
      <c r="D95" t="str">
        <f t="shared" si="7"/>
        <v/>
      </c>
      <c r="F95" t="e">
        <f t="shared" si="8"/>
        <v>#N/A</v>
      </c>
      <c r="I95">
        <v>36.176499999999997</v>
      </c>
      <c r="J95" s="2" t="e">
        <f t="shared" si="9"/>
        <v>#N/A</v>
      </c>
    </row>
    <row r="96" spans="1:10" x14ac:dyDescent="0.25">
      <c r="A96" s="1">
        <v>0.64012731481481477</v>
      </c>
      <c r="B96" s="2">
        <f t="shared" si="6"/>
        <v>93.999999999992312</v>
      </c>
      <c r="C96" s="3">
        <v>38.305700000000002</v>
      </c>
      <c r="D96" t="str">
        <f t="shared" si="7"/>
        <v/>
      </c>
      <c r="E96">
        <v>1</v>
      </c>
      <c r="F96">
        <f t="shared" si="8"/>
        <v>38.305700000000002</v>
      </c>
      <c r="I96">
        <v>36.176499999999997</v>
      </c>
      <c r="J96" s="2">
        <f t="shared" si="9"/>
        <v>36.176499999999997</v>
      </c>
    </row>
    <row r="97" spans="1:10" x14ac:dyDescent="0.25">
      <c r="A97" s="1">
        <v>0.64013888888888892</v>
      </c>
      <c r="B97" s="2">
        <f t="shared" si="6"/>
        <v>94.999999999998863</v>
      </c>
      <c r="C97" s="3">
        <v>37.926699999999997</v>
      </c>
      <c r="D97" t="str">
        <f t="shared" si="7"/>
        <v/>
      </c>
      <c r="F97" t="e">
        <f t="shared" si="8"/>
        <v>#N/A</v>
      </c>
      <c r="I97">
        <v>36.176499999999997</v>
      </c>
      <c r="J97" s="2" t="e">
        <f t="shared" si="9"/>
        <v>#N/A</v>
      </c>
    </row>
    <row r="98" spans="1:10" x14ac:dyDescent="0.25">
      <c r="A98" s="1">
        <v>0.64015046296296296</v>
      </c>
      <c r="B98" s="2">
        <f t="shared" ref="B98:B129" si="10">(A98-$A$2)*86400</f>
        <v>95.999999999995822</v>
      </c>
      <c r="C98" s="3">
        <v>37.550899999999999</v>
      </c>
      <c r="D98" t="str">
        <f t="shared" ref="D98:D129" si="11">IF(AND(C98&gt;C97,C98&gt;C99),"PEAK",
 IF(AND(C98&lt;C97,C98&lt;C99),"BOTTOM",""))</f>
        <v/>
      </c>
      <c r="F98" t="e">
        <f t="shared" si="8"/>
        <v>#N/A</v>
      </c>
      <c r="I98">
        <v>36.176499999999997</v>
      </c>
      <c r="J98" s="2" t="e">
        <f t="shared" si="9"/>
        <v>#N/A</v>
      </c>
    </row>
    <row r="99" spans="1:10" x14ac:dyDescent="0.25">
      <c r="A99" s="1">
        <v>0.640162037037037</v>
      </c>
      <c r="B99" s="2">
        <f t="shared" si="10"/>
        <v>96.999999999992781</v>
      </c>
      <c r="C99" s="3">
        <v>37.185299999999998</v>
      </c>
      <c r="D99" t="str">
        <f t="shared" si="11"/>
        <v/>
      </c>
      <c r="F99" t="e">
        <f t="shared" si="8"/>
        <v>#N/A</v>
      </c>
      <c r="I99">
        <v>36.176499999999997</v>
      </c>
      <c r="J99" s="2" t="e">
        <f t="shared" si="9"/>
        <v>#N/A</v>
      </c>
    </row>
    <row r="100" spans="1:10" x14ac:dyDescent="0.25">
      <c r="A100" s="1">
        <v>0.64017361111111115</v>
      </c>
      <c r="B100" s="2">
        <f t="shared" si="10"/>
        <v>97.999999999999332</v>
      </c>
      <c r="C100" s="3">
        <v>36.819400000000002</v>
      </c>
      <c r="D100" t="str">
        <f t="shared" si="11"/>
        <v/>
      </c>
      <c r="F100" t="e">
        <f t="shared" si="8"/>
        <v>#N/A</v>
      </c>
      <c r="I100">
        <v>36.176499999999997</v>
      </c>
      <c r="J100" s="2" t="e">
        <f t="shared" si="9"/>
        <v>#N/A</v>
      </c>
    </row>
    <row r="101" spans="1:10" x14ac:dyDescent="0.25">
      <c r="A101" s="1">
        <v>0.64018518518518519</v>
      </c>
      <c r="B101" s="2">
        <f t="shared" si="10"/>
        <v>98.999999999996291</v>
      </c>
      <c r="C101" s="3">
        <v>36.446300000000001</v>
      </c>
      <c r="D101" t="str">
        <f t="shared" si="11"/>
        <v/>
      </c>
      <c r="E101">
        <v>1</v>
      </c>
      <c r="F101">
        <f t="shared" si="8"/>
        <v>36.446300000000001</v>
      </c>
      <c r="I101">
        <v>36.176499999999997</v>
      </c>
      <c r="J101" s="2">
        <f t="shared" si="9"/>
        <v>36.176499999999997</v>
      </c>
    </row>
    <row r="102" spans="1:10" x14ac:dyDescent="0.25">
      <c r="A102" s="1">
        <v>0.64019675925925923</v>
      </c>
      <c r="B102" s="2">
        <f t="shared" si="10"/>
        <v>99.99999999999325</v>
      </c>
      <c r="C102" s="3">
        <v>36.082599999999999</v>
      </c>
      <c r="D102" t="str">
        <f t="shared" si="11"/>
        <v/>
      </c>
      <c r="F102" t="e">
        <f t="shared" si="8"/>
        <v>#N/A</v>
      </c>
      <c r="I102">
        <v>36.176499999999997</v>
      </c>
      <c r="J102" s="2" t="e">
        <f t="shared" si="9"/>
        <v>#N/A</v>
      </c>
    </row>
    <row r="103" spans="1:10" x14ac:dyDescent="0.25">
      <c r="A103" s="1">
        <v>0.64020833333333338</v>
      </c>
      <c r="B103" s="2">
        <f t="shared" si="10"/>
        <v>100.9999999999998</v>
      </c>
      <c r="C103" s="3">
        <v>35.746299999999998</v>
      </c>
      <c r="D103" t="str">
        <f t="shared" si="11"/>
        <v/>
      </c>
      <c r="F103" t="e">
        <f t="shared" si="8"/>
        <v>#N/A</v>
      </c>
      <c r="I103">
        <v>36.176499999999997</v>
      </c>
      <c r="J103" s="2" t="e">
        <f t="shared" si="9"/>
        <v>#N/A</v>
      </c>
    </row>
    <row r="104" spans="1:10" x14ac:dyDescent="0.25">
      <c r="A104" s="1">
        <v>0.64021990740740742</v>
      </c>
      <c r="B104" s="2">
        <f t="shared" si="10"/>
        <v>101.99999999999676</v>
      </c>
      <c r="C104" s="3">
        <v>35.550699999999999</v>
      </c>
      <c r="D104" t="str">
        <f t="shared" si="11"/>
        <v>BOTTOM</v>
      </c>
      <c r="E104">
        <v>1</v>
      </c>
      <c r="F104">
        <f t="shared" si="8"/>
        <v>35.550699999999999</v>
      </c>
      <c r="I104">
        <v>36.176499999999997</v>
      </c>
      <c r="J104" s="2">
        <f t="shared" si="9"/>
        <v>36.176499999999997</v>
      </c>
    </row>
    <row r="105" spans="1:10" x14ac:dyDescent="0.25">
      <c r="A105" s="1">
        <v>0.64023148148148146</v>
      </c>
      <c r="B105" s="2">
        <f t="shared" si="10"/>
        <v>102.99999999999372</v>
      </c>
      <c r="C105" s="3">
        <v>35.584299999999999</v>
      </c>
      <c r="D105" t="str">
        <f t="shared" ref="D105:D122" si="12">IF(AND(C105&gt;C104,C105&gt;C106),"PEAK",
 IF(AND(C105&lt;C104,C105&lt;C106),"BOTTOM",""))</f>
        <v/>
      </c>
      <c r="F105" t="e">
        <f t="shared" si="8"/>
        <v>#N/A</v>
      </c>
      <c r="I105">
        <v>36.176499999999997</v>
      </c>
      <c r="J105" s="2" t="e">
        <f t="shared" si="9"/>
        <v>#N/A</v>
      </c>
    </row>
    <row r="106" spans="1:10" x14ac:dyDescent="0.25">
      <c r="A106" s="1">
        <v>0.64024305555555505</v>
      </c>
      <c r="B106" s="2">
        <v>104</v>
      </c>
      <c r="C106" s="3">
        <v>36.036000000000001</v>
      </c>
      <c r="D106" t="str">
        <f t="shared" si="12"/>
        <v/>
      </c>
      <c r="E106">
        <v>1</v>
      </c>
      <c r="F106">
        <f t="shared" si="8"/>
        <v>36.036000000000001</v>
      </c>
      <c r="I106">
        <v>36.176499999999997</v>
      </c>
      <c r="J106" s="2">
        <f t="shared" si="9"/>
        <v>36.176499999999997</v>
      </c>
    </row>
    <row r="107" spans="1:10" x14ac:dyDescent="0.25">
      <c r="A107" s="1">
        <v>0.64025462962962998</v>
      </c>
      <c r="B107" s="2">
        <v>105</v>
      </c>
      <c r="C107" s="3">
        <v>36.7303</v>
      </c>
      <c r="D107" t="str">
        <f t="shared" si="12"/>
        <v/>
      </c>
      <c r="F107" t="e">
        <f t="shared" si="8"/>
        <v>#N/A</v>
      </c>
      <c r="I107">
        <v>36.176499999999997</v>
      </c>
      <c r="J107" s="2" t="e">
        <f t="shared" si="9"/>
        <v>#N/A</v>
      </c>
    </row>
    <row r="108" spans="1:10" x14ac:dyDescent="0.25">
      <c r="A108" s="1">
        <v>0.64026620370370402</v>
      </c>
      <c r="B108" s="2">
        <f t="shared" ref="B108:B122" si="13">(A108-$A$2)*86400</f>
        <v>106.00000000002296</v>
      </c>
      <c r="C108" s="3">
        <v>37.604100000000003</v>
      </c>
      <c r="D108" t="str">
        <f t="shared" si="12"/>
        <v/>
      </c>
      <c r="E108">
        <v>1</v>
      </c>
      <c r="F108">
        <f t="shared" si="8"/>
        <v>37.604100000000003</v>
      </c>
      <c r="I108">
        <v>36.176499999999997</v>
      </c>
      <c r="J108" s="2">
        <f t="shared" si="9"/>
        <v>36.176499999999997</v>
      </c>
    </row>
    <row r="109" spans="1:10" x14ac:dyDescent="0.25">
      <c r="A109" s="1">
        <v>0.64027777777777795</v>
      </c>
      <c r="B109" s="2">
        <f t="shared" si="13"/>
        <v>107.00000000001033</v>
      </c>
      <c r="C109" s="3">
        <v>38.4773</v>
      </c>
      <c r="D109" t="str">
        <f t="shared" si="12"/>
        <v/>
      </c>
      <c r="F109" t="e">
        <f t="shared" si="8"/>
        <v>#N/A</v>
      </c>
      <c r="I109">
        <v>36.176499999999997</v>
      </c>
      <c r="J109" s="2" t="e">
        <f t="shared" si="9"/>
        <v>#N/A</v>
      </c>
    </row>
    <row r="110" spans="1:10" x14ac:dyDescent="0.25">
      <c r="A110" s="1">
        <v>0.64028935185185198</v>
      </c>
      <c r="B110" s="2">
        <f t="shared" si="13"/>
        <v>108.00000000000729</v>
      </c>
      <c r="C110" s="3">
        <v>39.151299999999999</v>
      </c>
      <c r="D110" t="str">
        <f t="shared" si="12"/>
        <v/>
      </c>
      <c r="F110" t="e">
        <f t="shared" si="8"/>
        <v>#N/A</v>
      </c>
      <c r="I110">
        <v>36.176499999999997</v>
      </c>
      <c r="J110" s="2" t="e">
        <f t="shared" si="9"/>
        <v>#N/A</v>
      </c>
    </row>
    <row r="111" spans="1:10" x14ac:dyDescent="0.25">
      <c r="A111" s="1">
        <v>0.64030092592592602</v>
      </c>
      <c r="B111" s="2">
        <f t="shared" si="13"/>
        <v>109.00000000000425</v>
      </c>
      <c r="C111" s="3">
        <v>39.603999999999999</v>
      </c>
      <c r="D111" t="str">
        <f t="shared" si="12"/>
        <v/>
      </c>
      <c r="E111">
        <v>1</v>
      </c>
      <c r="F111">
        <f t="shared" si="8"/>
        <v>39.603999999999999</v>
      </c>
      <c r="I111">
        <v>36.176499999999997</v>
      </c>
      <c r="J111" s="2">
        <f t="shared" si="9"/>
        <v>36.176499999999997</v>
      </c>
    </row>
    <row r="112" spans="1:10" x14ac:dyDescent="0.25">
      <c r="A112" s="1">
        <v>0.64031249999999995</v>
      </c>
      <c r="B112" s="2">
        <f t="shared" si="13"/>
        <v>109.99999999999162</v>
      </c>
      <c r="C112" s="3">
        <v>39.8598</v>
      </c>
      <c r="D112" t="str">
        <f t="shared" si="12"/>
        <v/>
      </c>
      <c r="F112" t="e">
        <f t="shared" si="8"/>
        <v>#N/A</v>
      </c>
      <c r="I112">
        <v>36.176499999999997</v>
      </c>
      <c r="J112" s="2" t="e">
        <f t="shared" si="9"/>
        <v>#N/A</v>
      </c>
    </row>
    <row r="113" spans="1:10" x14ac:dyDescent="0.25">
      <c r="A113" s="1">
        <v>0.64032407407407399</v>
      </c>
      <c r="B113" s="2">
        <f t="shared" si="13"/>
        <v>110.99999999998857</v>
      </c>
      <c r="C113" s="3">
        <v>39.982399999999998</v>
      </c>
      <c r="D113" t="str">
        <f t="shared" si="12"/>
        <v/>
      </c>
      <c r="F113" t="e">
        <f t="shared" si="8"/>
        <v>#N/A</v>
      </c>
      <c r="I113">
        <v>36.176499999999997</v>
      </c>
      <c r="J113" s="2" t="e">
        <f t="shared" si="9"/>
        <v>#N/A</v>
      </c>
    </row>
    <row r="114" spans="1:10" x14ac:dyDescent="0.25">
      <c r="A114" s="1">
        <v>0.64033564814814803</v>
      </c>
      <c r="B114" s="2">
        <f t="shared" si="13"/>
        <v>111.99999999998553</v>
      </c>
      <c r="C114" s="3">
        <v>39.996499999999997</v>
      </c>
      <c r="D114" t="str">
        <f t="shared" si="12"/>
        <v>PEAK</v>
      </c>
      <c r="E114">
        <v>1</v>
      </c>
      <c r="F114">
        <f t="shared" si="8"/>
        <v>39.996499999999997</v>
      </c>
      <c r="I114">
        <v>36.176499999999997</v>
      </c>
      <c r="J114" s="2">
        <f t="shared" si="9"/>
        <v>36.176499999999997</v>
      </c>
    </row>
    <row r="115" spans="1:10" x14ac:dyDescent="0.25">
      <c r="A115" s="1">
        <v>0.64034722222222196</v>
      </c>
      <c r="B115" s="2">
        <f t="shared" si="13"/>
        <v>112.9999999999729</v>
      </c>
      <c r="C115" s="3">
        <v>39.905799999999999</v>
      </c>
      <c r="D115" t="str">
        <f t="shared" si="12"/>
        <v/>
      </c>
      <c r="F115" t="e">
        <f t="shared" si="8"/>
        <v>#N/A</v>
      </c>
      <c r="I115">
        <v>36.176499999999997</v>
      </c>
      <c r="J115" s="2" t="e">
        <f t="shared" si="9"/>
        <v>#N/A</v>
      </c>
    </row>
    <row r="116" spans="1:10" x14ac:dyDescent="0.25">
      <c r="A116" s="1">
        <v>0.640358796296296</v>
      </c>
      <c r="B116" s="2">
        <f t="shared" si="13"/>
        <v>113.99999999996986</v>
      </c>
      <c r="C116" s="3">
        <v>39.742699999999999</v>
      </c>
      <c r="D116" t="str">
        <f t="shared" si="12"/>
        <v/>
      </c>
      <c r="F116" t="e">
        <f t="shared" si="8"/>
        <v>#N/A</v>
      </c>
      <c r="I116">
        <v>36.176499999999997</v>
      </c>
      <c r="J116" s="2" t="e">
        <f t="shared" si="9"/>
        <v>#N/A</v>
      </c>
    </row>
    <row r="117" spans="1:10" x14ac:dyDescent="0.25">
      <c r="A117" s="1">
        <v>0.64037037037037003</v>
      </c>
      <c r="B117" s="2">
        <f t="shared" si="13"/>
        <v>114.99999999996682</v>
      </c>
      <c r="C117" s="3">
        <v>39.5182</v>
      </c>
      <c r="D117" t="str">
        <f t="shared" si="12"/>
        <v/>
      </c>
      <c r="E117">
        <v>1</v>
      </c>
      <c r="F117">
        <f t="shared" si="8"/>
        <v>39.5182</v>
      </c>
      <c r="I117">
        <v>36.176499999999997</v>
      </c>
      <c r="J117" s="2">
        <f t="shared" si="9"/>
        <v>36.176499999999997</v>
      </c>
    </row>
    <row r="118" spans="1:10" x14ac:dyDescent="0.25">
      <c r="A118" s="1">
        <v>0.64038194444444396</v>
      </c>
      <c r="B118" s="2">
        <f t="shared" si="13"/>
        <v>115.99999999995418</v>
      </c>
      <c r="C118" s="3">
        <v>39.216000000000001</v>
      </c>
      <c r="D118" t="str">
        <f t="shared" si="12"/>
        <v/>
      </c>
      <c r="F118" t="e">
        <f t="shared" si="8"/>
        <v>#N/A</v>
      </c>
      <c r="I118">
        <v>36.176499999999997</v>
      </c>
      <c r="J118" s="2" t="e">
        <f t="shared" si="9"/>
        <v>#N/A</v>
      </c>
    </row>
    <row r="119" spans="1:10" x14ac:dyDescent="0.25">
      <c r="A119" s="1">
        <v>0.640393518518518</v>
      </c>
      <c r="B119" s="2">
        <f t="shared" si="13"/>
        <v>116.99999999995114</v>
      </c>
      <c r="C119" s="3">
        <v>38.897199999999998</v>
      </c>
      <c r="D119" t="str">
        <f t="shared" si="12"/>
        <v/>
      </c>
      <c r="F119" t="e">
        <f t="shared" si="8"/>
        <v>#N/A</v>
      </c>
      <c r="I119">
        <v>36.176499999999997</v>
      </c>
      <c r="J119" s="2" t="e">
        <f t="shared" si="9"/>
        <v>#N/A</v>
      </c>
    </row>
    <row r="120" spans="1:10" x14ac:dyDescent="0.25">
      <c r="A120" s="1">
        <v>0.64040509259259204</v>
      </c>
      <c r="B120" s="2">
        <f t="shared" si="13"/>
        <v>117.9999999999481</v>
      </c>
      <c r="C120" s="3">
        <v>38.571399999999997</v>
      </c>
      <c r="D120" t="str">
        <f t="shared" si="12"/>
        <v/>
      </c>
      <c r="F120" t="e">
        <f t="shared" si="8"/>
        <v>#N/A</v>
      </c>
      <c r="I120">
        <v>36.176499999999997</v>
      </c>
      <c r="J120" s="2" t="e">
        <f t="shared" si="9"/>
        <v>#N/A</v>
      </c>
    </row>
    <row r="121" spans="1:10" x14ac:dyDescent="0.25">
      <c r="A121" s="1">
        <v>0.64041666666666597</v>
      </c>
      <c r="B121" s="2">
        <f t="shared" si="13"/>
        <v>118.99999999993547</v>
      </c>
      <c r="C121" s="3">
        <v>38.247500000000002</v>
      </c>
      <c r="D121" t="str">
        <f t="shared" si="12"/>
        <v/>
      </c>
      <c r="F121" t="e">
        <f t="shared" si="8"/>
        <v>#N/A</v>
      </c>
      <c r="I121">
        <v>36.176499999999997</v>
      </c>
      <c r="J121" s="2" t="e">
        <f t="shared" si="9"/>
        <v>#N/A</v>
      </c>
    </row>
    <row r="122" spans="1:10" x14ac:dyDescent="0.25">
      <c r="A122" s="1">
        <v>0.64042824074074001</v>
      </c>
      <c r="B122" s="2">
        <f t="shared" si="13"/>
        <v>119.99999999993243</v>
      </c>
      <c r="C122" s="3">
        <v>37.8688</v>
      </c>
      <c r="D122" t="str">
        <f t="shared" si="12"/>
        <v/>
      </c>
      <c r="E122">
        <v>1</v>
      </c>
      <c r="F122">
        <f t="shared" si="8"/>
        <v>37.8688</v>
      </c>
      <c r="I122">
        <v>36.176499999999997</v>
      </c>
      <c r="J122" s="2">
        <f t="shared" si="9"/>
        <v>36.176499999999997</v>
      </c>
    </row>
    <row r="123" spans="1:10" x14ac:dyDescent="0.25">
      <c r="A123" s="1"/>
      <c r="B123" s="2"/>
      <c r="I123">
        <v>36.176499999999997</v>
      </c>
      <c r="J123" s="2" t="e">
        <f t="shared" si="9"/>
        <v>#N/A</v>
      </c>
    </row>
    <row r="124" spans="1:10" x14ac:dyDescent="0.25">
      <c r="A124" s="1"/>
      <c r="B124" s="2"/>
      <c r="I124">
        <v>36.176499999999997</v>
      </c>
      <c r="J124" s="2" t="e">
        <f t="shared" si="9"/>
        <v>#N/A</v>
      </c>
    </row>
    <row r="125" spans="1:10" x14ac:dyDescent="0.25">
      <c r="A125" s="1"/>
      <c r="B125" s="2"/>
      <c r="I125">
        <v>36.176499999999997</v>
      </c>
      <c r="J125" s="2" t="e">
        <f t="shared" si="9"/>
        <v>#N/A</v>
      </c>
    </row>
    <row r="126" spans="1:10" x14ac:dyDescent="0.25">
      <c r="A126" s="1"/>
      <c r="B126" s="2"/>
      <c r="I126">
        <v>36.176499999999997</v>
      </c>
      <c r="J126" s="2" t="e">
        <f t="shared" si="9"/>
        <v>#N/A</v>
      </c>
    </row>
    <row r="127" spans="1:10" x14ac:dyDescent="0.25">
      <c r="A127" s="1"/>
      <c r="B127" s="2"/>
      <c r="I127">
        <v>36.176499999999997</v>
      </c>
      <c r="J127" s="2" t="e">
        <f t="shared" si="9"/>
        <v>#N/A</v>
      </c>
    </row>
    <row r="128" spans="1:10" x14ac:dyDescent="0.25">
      <c r="A128" s="1"/>
      <c r="B128" s="2"/>
      <c r="I128">
        <v>36.176499999999997</v>
      </c>
      <c r="J128" s="2" t="e">
        <f t="shared" si="9"/>
        <v>#N/A</v>
      </c>
    </row>
    <row r="129" spans="1:10" x14ac:dyDescent="0.25">
      <c r="A129" s="1"/>
      <c r="B129" s="2"/>
      <c r="I129">
        <v>36.176499999999997</v>
      </c>
      <c r="J129" s="2" t="e">
        <f t="shared" si="9"/>
        <v>#N/A</v>
      </c>
    </row>
    <row r="130" spans="1:10" x14ac:dyDescent="0.25">
      <c r="A130" s="1"/>
      <c r="B130" s="2"/>
      <c r="I130">
        <v>36.176499999999997</v>
      </c>
      <c r="J130" s="2" t="e">
        <f t="shared" si="9"/>
        <v>#N/A</v>
      </c>
    </row>
    <row r="131" spans="1:10" x14ac:dyDescent="0.25">
      <c r="A131" s="1"/>
      <c r="B131" s="2"/>
      <c r="I131">
        <v>36.176499999999997</v>
      </c>
      <c r="J131" s="2" t="e">
        <f t="shared" si="9"/>
        <v>#N/A</v>
      </c>
    </row>
    <row r="132" spans="1:10" x14ac:dyDescent="0.25">
      <c r="A132" s="1"/>
      <c r="B132" s="2"/>
      <c r="I132">
        <v>36.176499999999997</v>
      </c>
      <c r="J132" s="2" t="e">
        <f t="shared" ref="J132:J133" si="14">IF(E132=1,I132,NA())</f>
        <v>#N/A</v>
      </c>
    </row>
    <row r="133" spans="1:10" x14ac:dyDescent="0.25">
      <c r="A133" s="1"/>
      <c r="B133" s="2"/>
      <c r="I133">
        <v>36.176499999999997</v>
      </c>
      <c r="J133" s="2" t="e">
        <f t="shared" si="14"/>
        <v>#N/A</v>
      </c>
    </row>
    <row r="134" spans="1:10" x14ac:dyDescent="0.25">
      <c r="A134" s="1"/>
      <c r="B134" s="2"/>
      <c r="I134">
        <v>36.176499999999997</v>
      </c>
      <c r="J134" s="1"/>
    </row>
    <row r="135" spans="1:10" x14ac:dyDescent="0.25">
      <c r="A135" s="1"/>
      <c r="B135" s="2"/>
      <c r="J135" s="1"/>
    </row>
    <row r="136" spans="1:10" x14ac:dyDescent="0.25">
      <c r="A136" s="1"/>
      <c r="B136" s="2"/>
      <c r="J136" s="1"/>
    </row>
    <row r="137" spans="1:10" x14ac:dyDescent="0.25">
      <c r="A137" s="1"/>
      <c r="B137" s="2"/>
      <c r="J137" s="1"/>
    </row>
    <row r="138" spans="1:10" x14ac:dyDescent="0.25">
      <c r="A138" s="1"/>
      <c r="B138" s="2"/>
      <c r="J138" s="1"/>
    </row>
    <row r="139" spans="1:10" x14ac:dyDescent="0.25">
      <c r="A139" s="1"/>
      <c r="B139" s="2"/>
      <c r="J139" s="1"/>
    </row>
    <row r="140" spans="1:10" x14ac:dyDescent="0.25">
      <c r="A140" s="1"/>
      <c r="B140" s="2"/>
      <c r="J140" s="1"/>
    </row>
    <row r="141" spans="1:10" x14ac:dyDescent="0.25">
      <c r="A141" s="1"/>
      <c r="B141" s="2"/>
      <c r="J141" s="1"/>
    </row>
    <row r="142" spans="1:10" x14ac:dyDescent="0.25">
      <c r="A142" s="1"/>
      <c r="B142" s="2"/>
      <c r="J142" s="1"/>
    </row>
    <row r="143" spans="1:10" x14ac:dyDescent="0.25">
      <c r="A143" s="1"/>
      <c r="B143" s="2"/>
      <c r="J143" s="1"/>
    </row>
    <row r="144" spans="1:10" x14ac:dyDescent="0.25">
      <c r="A144" s="1"/>
      <c r="B144" s="2"/>
      <c r="J144" s="1"/>
    </row>
    <row r="145" spans="1:10" x14ac:dyDescent="0.25">
      <c r="A145" s="1"/>
      <c r="B145" s="2"/>
      <c r="J145" s="1"/>
    </row>
    <row r="146" spans="1:10" x14ac:dyDescent="0.25">
      <c r="A146" s="1"/>
      <c r="B146" s="2"/>
      <c r="J146" s="1"/>
    </row>
    <row r="147" spans="1:10" x14ac:dyDescent="0.25">
      <c r="A147" s="1"/>
      <c r="B147" s="2"/>
      <c r="J147" s="1"/>
    </row>
    <row r="148" spans="1:10" x14ac:dyDescent="0.25">
      <c r="A148" s="1"/>
      <c r="B148" s="2"/>
      <c r="J148" s="1"/>
    </row>
    <row r="149" spans="1:10" x14ac:dyDescent="0.25">
      <c r="A149" s="1"/>
      <c r="B149" s="2"/>
      <c r="J149" s="1"/>
    </row>
    <row r="150" spans="1:10" x14ac:dyDescent="0.25">
      <c r="J150" s="1"/>
    </row>
    <row r="151" spans="1:10" x14ac:dyDescent="0.25">
      <c r="J151" s="1"/>
    </row>
    <row r="152" spans="1:10" x14ac:dyDescent="0.25">
      <c r="J152" s="1"/>
    </row>
    <row r="153" spans="1:10" x14ac:dyDescent="0.25">
      <c r="J153" s="1"/>
    </row>
    <row r="154" spans="1:10" x14ac:dyDescent="0.25">
      <c r="J154" s="1"/>
    </row>
    <row r="155" spans="1:10" x14ac:dyDescent="0.25">
      <c r="J155" s="1"/>
    </row>
    <row r="156" spans="1:10" x14ac:dyDescent="0.25">
      <c r="J156" s="1"/>
    </row>
    <row r="157" spans="1:10" x14ac:dyDescent="0.25">
      <c r="J157" s="1"/>
    </row>
    <row r="158" spans="1:10" x14ac:dyDescent="0.25">
      <c r="J158" s="1"/>
    </row>
    <row r="159" spans="1:10" x14ac:dyDescent="0.25">
      <c r="J159" s="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5C3-C014-4023-B958-B7CFE63D233E}">
  <dimension ref="A1:K290"/>
  <sheetViews>
    <sheetView workbookViewId="0">
      <selection activeCell="C259" sqref="B6:C259"/>
    </sheetView>
  </sheetViews>
  <sheetFormatPr defaultRowHeight="15" x14ac:dyDescent="0.25"/>
  <cols>
    <col min="2" max="2" width="10.85546875" customWidth="1"/>
    <col min="3" max="3" width="10.42578125" style="3" customWidth="1"/>
    <col min="6" max="6" width="18.28515625" bestFit="1" customWidth="1"/>
    <col min="9" max="9" width="14.28515625" customWidth="1"/>
    <col min="10" max="10" width="17.85546875" customWidth="1"/>
  </cols>
  <sheetData>
    <row r="1" spans="1:11" x14ac:dyDescent="0.25">
      <c r="A1" t="s">
        <v>0</v>
      </c>
      <c r="B1" t="s">
        <v>1</v>
      </c>
      <c r="C1" s="3" t="s">
        <v>2</v>
      </c>
      <c r="I1" t="s">
        <v>3</v>
      </c>
    </row>
    <row r="2" spans="1:11" x14ac:dyDescent="0.25">
      <c r="A2" s="1"/>
      <c r="B2" s="2"/>
      <c r="C2"/>
      <c r="D2" t="str">
        <f t="shared" ref="D2:D33" si="0">IF(AND(C2&gt;C1,C2&gt;C3),"PEAK",
 IF(AND(C2&lt;C1,C2&lt;C3),"BOTTOM",""))</f>
        <v/>
      </c>
      <c r="J2" s="2"/>
      <c r="K2" s="3"/>
    </row>
    <row r="3" spans="1:11" x14ac:dyDescent="0.25">
      <c r="A3" s="1"/>
      <c r="B3" s="2"/>
      <c r="C3"/>
      <c r="D3" t="str">
        <f t="shared" si="0"/>
        <v/>
      </c>
      <c r="J3" s="2"/>
      <c r="K3" s="3"/>
    </row>
    <row r="4" spans="1:11" x14ac:dyDescent="0.25">
      <c r="A4" s="1"/>
      <c r="B4" s="2"/>
      <c r="C4"/>
      <c r="D4" t="str">
        <f t="shared" si="0"/>
        <v/>
      </c>
      <c r="J4" s="2"/>
      <c r="K4" s="3"/>
    </row>
    <row r="5" spans="1:11" x14ac:dyDescent="0.25">
      <c r="A5" s="1"/>
      <c r="B5" s="2"/>
      <c r="C5"/>
      <c r="D5" t="str">
        <f t="shared" si="0"/>
        <v/>
      </c>
      <c r="J5" s="2"/>
      <c r="K5" s="3"/>
    </row>
    <row r="6" spans="1:11" x14ac:dyDescent="0.25">
      <c r="A6" s="1">
        <v>0.63552083333333331</v>
      </c>
      <c r="B6" s="2">
        <f>(A6-$A$6)*86400</f>
        <v>0</v>
      </c>
      <c r="C6">
        <v>35.9876</v>
      </c>
      <c r="D6" t="str">
        <f t="shared" si="0"/>
        <v/>
      </c>
      <c r="E6">
        <v>1</v>
      </c>
      <c r="F6">
        <f t="shared" ref="F6:F69" si="1">IF(E6=1,C6,NA())</f>
        <v>35.9876</v>
      </c>
      <c r="I6">
        <v>36.176499999999997</v>
      </c>
      <c r="J6" s="2">
        <f t="shared" ref="J6:J67" si="2">IF(E6=1,I6,NA())</f>
        <v>36.176499999999997</v>
      </c>
      <c r="K6" s="3"/>
    </row>
    <row r="7" spans="1:11" x14ac:dyDescent="0.25">
      <c r="A7" s="1">
        <v>0.63553240740740746</v>
      </c>
      <c r="B7" s="2">
        <f t="shared" ref="B7:B70" si="3">(A7-$A$6)*86400</f>
        <v>1.0000000000065512</v>
      </c>
      <c r="C7">
        <v>36.0886</v>
      </c>
      <c r="D7" t="str">
        <f t="shared" si="0"/>
        <v/>
      </c>
      <c r="F7" t="e">
        <f t="shared" si="1"/>
        <v>#N/A</v>
      </c>
      <c r="I7">
        <v>36.176499999999997</v>
      </c>
      <c r="J7" s="2" t="e">
        <f t="shared" si="2"/>
        <v>#N/A</v>
      </c>
      <c r="K7" s="3"/>
    </row>
    <row r="8" spans="1:11" x14ac:dyDescent="0.25">
      <c r="A8" s="1">
        <v>0.6355439814814815</v>
      </c>
      <c r="B8" s="2">
        <f t="shared" si="3"/>
        <v>2.0000000000035101</v>
      </c>
      <c r="C8">
        <v>36.531700000000001</v>
      </c>
      <c r="D8" t="str">
        <f t="shared" si="0"/>
        <v/>
      </c>
      <c r="E8">
        <v>1</v>
      </c>
      <c r="F8">
        <f t="shared" si="1"/>
        <v>36.531700000000001</v>
      </c>
      <c r="I8">
        <v>36.176499999999997</v>
      </c>
      <c r="J8" s="2">
        <f t="shared" si="2"/>
        <v>36.176499999999997</v>
      </c>
      <c r="K8" s="3"/>
    </row>
    <row r="9" spans="1:11" x14ac:dyDescent="0.25">
      <c r="A9" s="1">
        <v>0.63555555555555554</v>
      </c>
      <c r="B9" s="2">
        <f t="shared" si="3"/>
        <v>3.000000000000469</v>
      </c>
      <c r="C9">
        <v>37.246499999999997</v>
      </c>
      <c r="D9" t="str">
        <f t="shared" si="0"/>
        <v/>
      </c>
      <c r="F9" t="e">
        <f t="shared" si="1"/>
        <v>#N/A</v>
      </c>
      <c r="I9">
        <v>36.176499999999997</v>
      </c>
      <c r="J9" s="2" t="e">
        <f t="shared" si="2"/>
        <v>#N/A</v>
      </c>
      <c r="K9" s="3"/>
    </row>
    <row r="10" spans="1:11" x14ac:dyDescent="0.25">
      <c r="A10" s="1">
        <v>0.63556712962962958</v>
      </c>
      <c r="B10" s="2">
        <f t="shared" si="3"/>
        <v>3.9999999999974278</v>
      </c>
      <c r="C10">
        <v>38.100900000000003</v>
      </c>
      <c r="D10" t="str">
        <f t="shared" si="0"/>
        <v/>
      </c>
      <c r="E10">
        <v>1</v>
      </c>
      <c r="F10">
        <f t="shared" si="1"/>
        <v>38.100900000000003</v>
      </c>
      <c r="I10">
        <v>36.176499999999997</v>
      </c>
      <c r="J10" s="2">
        <f t="shared" si="2"/>
        <v>36.176499999999997</v>
      </c>
      <c r="K10" s="3"/>
    </row>
    <row r="11" spans="1:11" x14ac:dyDescent="0.25">
      <c r="A11" s="1">
        <v>0.63557870370370373</v>
      </c>
      <c r="B11" s="2">
        <f t="shared" si="3"/>
        <v>5.000000000003979</v>
      </c>
      <c r="C11">
        <v>38.846499999999999</v>
      </c>
      <c r="D11" t="str">
        <f t="shared" si="0"/>
        <v/>
      </c>
      <c r="F11" t="e">
        <f t="shared" si="1"/>
        <v>#N/A</v>
      </c>
      <c r="I11">
        <v>36.176499999999997</v>
      </c>
      <c r="J11" s="2" t="e">
        <f t="shared" si="2"/>
        <v>#N/A</v>
      </c>
      <c r="K11" s="3"/>
    </row>
    <row r="12" spans="1:11" x14ac:dyDescent="0.25">
      <c r="A12" s="1">
        <v>0.63559027777777777</v>
      </c>
      <c r="B12" s="2">
        <f t="shared" si="3"/>
        <v>6.0000000000009379</v>
      </c>
      <c r="C12">
        <v>39.459699999999998</v>
      </c>
      <c r="D12" t="str">
        <f t="shared" si="0"/>
        <v/>
      </c>
      <c r="F12" t="e">
        <f t="shared" si="1"/>
        <v>#N/A</v>
      </c>
      <c r="I12">
        <v>36.176499999999997</v>
      </c>
      <c r="J12" s="2" t="e">
        <f t="shared" si="2"/>
        <v>#N/A</v>
      </c>
    </row>
    <row r="13" spans="1:11" x14ac:dyDescent="0.25">
      <c r="A13" s="1">
        <v>0.63560185185185181</v>
      </c>
      <c r="B13" s="2">
        <f t="shared" si="3"/>
        <v>6.9999999999978968</v>
      </c>
      <c r="C13">
        <v>39.953099999999999</v>
      </c>
      <c r="D13" t="str">
        <f t="shared" si="0"/>
        <v/>
      </c>
      <c r="E13">
        <v>1</v>
      </c>
      <c r="F13">
        <f t="shared" si="1"/>
        <v>39.953099999999999</v>
      </c>
      <c r="I13">
        <v>36.176499999999997</v>
      </c>
      <c r="J13" s="2">
        <f t="shared" si="2"/>
        <v>36.176499999999997</v>
      </c>
    </row>
    <row r="14" spans="1:11" x14ac:dyDescent="0.25">
      <c r="A14" s="1">
        <v>0.63561342592592596</v>
      </c>
      <c r="B14" s="2">
        <f t="shared" si="3"/>
        <v>8.000000000004448</v>
      </c>
      <c r="C14">
        <v>40.341700000000003</v>
      </c>
      <c r="D14" t="str">
        <f t="shared" si="0"/>
        <v/>
      </c>
      <c r="F14" t="e">
        <f t="shared" si="1"/>
        <v>#N/A</v>
      </c>
      <c r="I14">
        <v>36.176499999999997</v>
      </c>
      <c r="J14" s="2" t="e">
        <f t="shared" si="2"/>
        <v>#N/A</v>
      </c>
    </row>
    <row r="15" spans="1:11" x14ac:dyDescent="0.25">
      <c r="A15" s="1">
        <v>0.635625</v>
      </c>
      <c r="B15" s="2">
        <f t="shared" si="3"/>
        <v>9.0000000000014069</v>
      </c>
      <c r="C15">
        <v>40.659999999999997</v>
      </c>
      <c r="D15" t="str">
        <f t="shared" si="0"/>
        <v/>
      </c>
      <c r="F15" t="e">
        <f t="shared" si="1"/>
        <v>#N/A</v>
      </c>
      <c r="I15">
        <v>36.176499999999997</v>
      </c>
      <c r="J15" s="2" t="e">
        <f t="shared" si="2"/>
        <v>#N/A</v>
      </c>
    </row>
    <row r="16" spans="1:11" x14ac:dyDescent="0.25">
      <c r="A16" s="1">
        <v>0.63563657407407403</v>
      </c>
      <c r="B16" s="2">
        <f t="shared" si="3"/>
        <v>9.9999999999983658</v>
      </c>
      <c r="C16">
        <v>40.914099999999998</v>
      </c>
      <c r="D16" t="str">
        <f t="shared" si="0"/>
        <v/>
      </c>
      <c r="F16" t="e">
        <f t="shared" si="1"/>
        <v>#N/A</v>
      </c>
      <c r="I16">
        <v>36.176499999999997</v>
      </c>
      <c r="J16" s="2" t="e">
        <f t="shared" si="2"/>
        <v>#N/A</v>
      </c>
    </row>
    <row r="17" spans="1:10" x14ac:dyDescent="0.25">
      <c r="A17" s="1">
        <v>0.63564814814814818</v>
      </c>
      <c r="B17" s="2">
        <f t="shared" si="3"/>
        <v>11.000000000004917</v>
      </c>
      <c r="C17">
        <v>41.099200000000003</v>
      </c>
      <c r="D17" t="str">
        <f t="shared" si="0"/>
        <v/>
      </c>
      <c r="E17">
        <v>1</v>
      </c>
      <c r="F17">
        <f t="shared" si="1"/>
        <v>41.099200000000003</v>
      </c>
      <c r="I17">
        <v>36.176499999999997</v>
      </c>
      <c r="J17" s="2">
        <f t="shared" si="2"/>
        <v>36.176499999999997</v>
      </c>
    </row>
    <row r="18" spans="1:10" x14ac:dyDescent="0.25">
      <c r="A18" s="1">
        <v>0.63565972222222222</v>
      </c>
      <c r="B18" s="2">
        <f t="shared" si="3"/>
        <v>12.000000000001876</v>
      </c>
      <c r="C18">
        <v>41.235900000000001</v>
      </c>
      <c r="D18" t="str">
        <f t="shared" si="0"/>
        <v/>
      </c>
      <c r="F18" t="e">
        <f t="shared" si="1"/>
        <v>#N/A</v>
      </c>
      <c r="I18">
        <v>36.176499999999997</v>
      </c>
      <c r="J18" s="2" t="e">
        <f t="shared" si="2"/>
        <v>#N/A</v>
      </c>
    </row>
    <row r="19" spans="1:10" x14ac:dyDescent="0.25">
      <c r="A19" s="1">
        <v>0.63567129629629626</v>
      </c>
      <c r="B19" s="2">
        <f t="shared" si="3"/>
        <v>12.999999999998835</v>
      </c>
      <c r="C19">
        <v>41.340499999999999</v>
      </c>
      <c r="D19" t="str">
        <f t="shared" si="0"/>
        <v/>
      </c>
      <c r="F19" t="e">
        <f t="shared" si="1"/>
        <v>#N/A</v>
      </c>
      <c r="I19">
        <v>36.176499999999997</v>
      </c>
      <c r="J19" s="2" t="e">
        <f t="shared" si="2"/>
        <v>#N/A</v>
      </c>
    </row>
    <row r="20" spans="1:10" x14ac:dyDescent="0.25">
      <c r="A20" s="1">
        <v>0.63568287037037041</v>
      </c>
      <c r="B20" s="2">
        <f t="shared" si="3"/>
        <v>14.000000000005386</v>
      </c>
      <c r="C20">
        <v>41.406199999999998</v>
      </c>
      <c r="D20" t="str">
        <f t="shared" si="0"/>
        <v/>
      </c>
      <c r="F20" t="e">
        <f t="shared" si="1"/>
        <v>#N/A</v>
      </c>
      <c r="I20">
        <v>36.176499999999997</v>
      </c>
      <c r="J20" s="2" t="e">
        <f t="shared" si="2"/>
        <v>#N/A</v>
      </c>
    </row>
    <row r="21" spans="1:10" x14ac:dyDescent="0.25">
      <c r="A21" s="1">
        <v>0.63569444444444445</v>
      </c>
      <c r="B21" s="2">
        <f t="shared" si="3"/>
        <v>15.000000000002345</v>
      </c>
      <c r="C21">
        <v>41.436799999999998</v>
      </c>
      <c r="D21" t="str">
        <f t="shared" si="0"/>
        <v>PEAK</v>
      </c>
      <c r="E21">
        <v>1</v>
      </c>
      <c r="F21">
        <f t="shared" si="1"/>
        <v>41.436799999999998</v>
      </c>
      <c r="I21">
        <v>36.176499999999997</v>
      </c>
      <c r="J21" s="2">
        <f t="shared" si="2"/>
        <v>36.176499999999997</v>
      </c>
    </row>
    <row r="22" spans="1:10" x14ac:dyDescent="0.25">
      <c r="A22" s="1">
        <v>0.63570601851851849</v>
      </c>
      <c r="B22" s="2">
        <f t="shared" si="3"/>
        <v>15.999999999999304</v>
      </c>
      <c r="C22">
        <v>41.432499999999997</v>
      </c>
      <c r="D22" t="str">
        <f t="shared" si="0"/>
        <v/>
      </c>
      <c r="F22" t="e">
        <f t="shared" si="1"/>
        <v>#N/A</v>
      </c>
      <c r="I22">
        <v>36.176499999999997</v>
      </c>
      <c r="J22" s="2" t="e">
        <f t="shared" si="2"/>
        <v>#N/A</v>
      </c>
    </row>
    <row r="23" spans="1:10" x14ac:dyDescent="0.25">
      <c r="A23" s="1">
        <v>0.63571759259259264</v>
      </c>
      <c r="B23" s="2">
        <f t="shared" si="3"/>
        <v>17.000000000005855</v>
      </c>
      <c r="C23">
        <v>41.423000000000002</v>
      </c>
      <c r="D23" t="str">
        <f t="shared" si="0"/>
        <v/>
      </c>
      <c r="F23" t="e">
        <f t="shared" si="1"/>
        <v>#N/A</v>
      </c>
      <c r="I23">
        <v>36.176499999999997</v>
      </c>
      <c r="J23" s="2" t="e">
        <f t="shared" si="2"/>
        <v>#N/A</v>
      </c>
    </row>
    <row r="24" spans="1:10" x14ac:dyDescent="0.25">
      <c r="A24" s="1">
        <v>0.63572916666666668</v>
      </c>
      <c r="B24" s="2">
        <f t="shared" si="3"/>
        <v>18.000000000002814</v>
      </c>
      <c r="C24">
        <v>41.386800000000001</v>
      </c>
      <c r="D24" t="str">
        <f t="shared" si="0"/>
        <v/>
      </c>
      <c r="F24" t="e">
        <f t="shared" si="1"/>
        <v>#N/A</v>
      </c>
      <c r="I24">
        <v>36.176499999999997</v>
      </c>
      <c r="J24" s="2" t="e">
        <f t="shared" si="2"/>
        <v>#N/A</v>
      </c>
    </row>
    <row r="25" spans="1:10" x14ac:dyDescent="0.25">
      <c r="A25" s="1">
        <v>0.63574074074074072</v>
      </c>
      <c r="B25" s="2">
        <f t="shared" si="3"/>
        <v>18.999999999999773</v>
      </c>
      <c r="C25">
        <v>41.342100000000002</v>
      </c>
      <c r="D25" t="str">
        <f t="shared" si="0"/>
        <v/>
      </c>
      <c r="F25" t="e">
        <f t="shared" si="1"/>
        <v>#N/A</v>
      </c>
      <c r="I25">
        <v>36.176499999999997</v>
      </c>
      <c r="J25" s="2" t="e">
        <f t="shared" si="2"/>
        <v>#N/A</v>
      </c>
    </row>
    <row r="26" spans="1:10" x14ac:dyDescent="0.25">
      <c r="A26" s="1">
        <v>0.63575231481481487</v>
      </c>
      <c r="B26" s="2">
        <f t="shared" si="3"/>
        <v>20.000000000006324</v>
      </c>
      <c r="C26">
        <v>41.284300000000002</v>
      </c>
      <c r="D26" t="str">
        <f t="shared" si="0"/>
        <v/>
      </c>
      <c r="F26" t="e">
        <f t="shared" si="1"/>
        <v>#N/A</v>
      </c>
      <c r="I26">
        <v>36.176499999999997</v>
      </c>
      <c r="J26" s="2" t="e">
        <f t="shared" si="2"/>
        <v>#N/A</v>
      </c>
    </row>
    <row r="27" spans="1:10" x14ac:dyDescent="0.25">
      <c r="A27" s="1">
        <v>0.63576388888888891</v>
      </c>
      <c r="B27" s="2">
        <f t="shared" si="3"/>
        <v>21.000000000003283</v>
      </c>
      <c r="C27">
        <v>41.218800000000002</v>
      </c>
      <c r="D27" t="str">
        <f t="shared" si="0"/>
        <v/>
      </c>
      <c r="F27" t="e">
        <f t="shared" si="1"/>
        <v>#N/A</v>
      </c>
      <c r="I27">
        <v>36.176499999999997</v>
      </c>
      <c r="J27" s="2" t="e">
        <f t="shared" si="2"/>
        <v>#N/A</v>
      </c>
    </row>
    <row r="28" spans="1:10" x14ac:dyDescent="0.25">
      <c r="A28" s="1">
        <v>0.63577546296296295</v>
      </c>
      <c r="B28" s="2">
        <f t="shared" si="3"/>
        <v>22.000000000000242</v>
      </c>
      <c r="C28">
        <v>41.137999999999998</v>
      </c>
      <c r="D28" t="str">
        <f t="shared" si="0"/>
        <v/>
      </c>
      <c r="F28" t="e">
        <f t="shared" si="1"/>
        <v>#N/A</v>
      </c>
      <c r="I28">
        <v>36.176499999999997</v>
      </c>
      <c r="J28" s="2" t="e">
        <f t="shared" si="2"/>
        <v>#N/A</v>
      </c>
    </row>
    <row r="29" spans="1:10" x14ac:dyDescent="0.25">
      <c r="A29" s="1">
        <v>0.63578703703703698</v>
      </c>
      <c r="B29" s="2">
        <f t="shared" si="3"/>
        <v>22.9999999999972</v>
      </c>
      <c r="C29">
        <v>41.051200000000001</v>
      </c>
      <c r="D29" t="str">
        <f t="shared" si="0"/>
        <v/>
      </c>
      <c r="F29" t="e">
        <f t="shared" si="1"/>
        <v>#N/A</v>
      </c>
      <c r="I29">
        <v>36.176499999999997</v>
      </c>
      <c r="J29" s="2" t="e">
        <f t="shared" si="2"/>
        <v>#N/A</v>
      </c>
    </row>
    <row r="30" spans="1:10" x14ac:dyDescent="0.25">
      <c r="A30" s="1">
        <v>0.63579861111111113</v>
      </c>
      <c r="B30" s="2">
        <f t="shared" si="3"/>
        <v>24.000000000003752</v>
      </c>
      <c r="C30">
        <v>40.965000000000003</v>
      </c>
      <c r="D30" t="str">
        <f t="shared" si="0"/>
        <v/>
      </c>
      <c r="E30">
        <v>1</v>
      </c>
      <c r="F30">
        <f t="shared" si="1"/>
        <v>40.965000000000003</v>
      </c>
      <c r="I30">
        <v>36.176499999999997</v>
      </c>
      <c r="J30" s="2">
        <f t="shared" si="2"/>
        <v>36.176499999999997</v>
      </c>
    </row>
    <row r="31" spans="1:10" x14ac:dyDescent="0.25">
      <c r="A31" s="1">
        <v>0.63581018518518517</v>
      </c>
      <c r="B31" s="2">
        <f t="shared" si="3"/>
        <v>25.000000000000711</v>
      </c>
      <c r="C31">
        <v>40.868099999999998</v>
      </c>
      <c r="D31" t="str">
        <f t="shared" si="0"/>
        <v/>
      </c>
      <c r="F31" t="e">
        <f t="shared" si="1"/>
        <v>#N/A</v>
      </c>
      <c r="I31">
        <v>36.176499999999997</v>
      </c>
      <c r="J31" s="2" t="e">
        <f t="shared" si="2"/>
        <v>#N/A</v>
      </c>
    </row>
    <row r="32" spans="1:10" x14ac:dyDescent="0.25">
      <c r="A32" s="1">
        <v>0.63582175925925921</v>
      </c>
      <c r="B32" s="2">
        <f t="shared" si="3"/>
        <v>25.999999999997669</v>
      </c>
      <c r="C32">
        <v>40.769799999999996</v>
      </c>
      <c r="D32" t="str">
        <f t="shared" si="0"/>
        <v/>
      </c>
      <c r="F32" t="e">
        <f t="shared" si="1"/>
        <v>#N/A</v>
      </c>
      <c r="I32">
        <v>36.176499999999997</v>
      </c>
      <c r="J32" s="2" t="e">
        <f t="shared" si="2"/>
        <v>#N/A</v>
      </c>
    </row>
    <row r="33" spans="1:10" x14ac:dyDescent="0.25">
      <c r="A33" s="1">
        <v>0.63583333333333336</v>
      </c>
      <c r="B33" s="2">
        <f t="shared" si="3"/>
        <v>27.000000000004221</v>
      </c>
      <c r="C33">
        <v>40.666899999999998</v>
      </c>
      <c r="D33" t="str">
        <f t="shared" si="0"/>
        <v/>
      </c>
      <c r="F33" t="e">
        <f t="shared" si="1"/>
        <v>#N/A</v>
      </c>
      <c r="I33">
        <v>36.176499999999997</v>
      </c>
      <c r="J33" s="2" t="e">
        <f t="shared" si="2"/>
        <v>#N/A</v>
      </c>
    </row>
    <row r="34" spans="1:10" x14ac:dyDescent="0.25">
      <c r="A34" s="1">
        <v>0.6358449074074074</v>
      </c>
      <c r="B34" s="2">
        <f t="shared" si="3"/>
        <v>28.00000000000118</v>
      </c>
      <c r="C34">
        <v>40.558999999999997</v>
      </c>
      <c r="D34" t="str">
        <f t="shared" ref="D34:D65" si="4">IF(AND(C34&gt;C33,C34&gt;C35),"PEAK",
 IF(AND(C34&lt;C33,C34&lt;C35),"BOTTOM",""))</f>
        <v/>
      </c>
      <c r="F34" t="e">
        <f t="shared" si="1"/>
        <v>#N/A</v>
      </c>
      <c r="I34">
        <v>36.176499999999997</v>
      </c>
      <c r="J34" s="2" t="e">
        <f t="shared" si="2"/>
        <v>#N/A</v>
      </c>
    </row>
    <row r="35" spans="1:10" x14ac:dyDescent="0.25">
      <c r="A35" s="1">
        <v>0.63585648148148144</v>
      </c>
      <c r="B35" s="2">
        <f t="shared" si="3"/>
        <v>28.999999999998138</v>
      </c>
      <c r="C35">
        <v>40.446300000000001</v>
      </c>
      <c r="D35" t="str">
        <f t="shared" si="4"/>
        <v/>
      </c>
      <c r="F35" t="e">
        <f t="shared" si="1"/>
        <v>#N/A</v>
      </c>
      <c r="I35">
        <v>36.176499999999997</v>
      </c>
      <c r="J35" s="2" t="e">
        <f t="shared" si="2"/>
        <v>#N/A</v>
      </c>
    </row>
    <row r="36" spans="1:10" x14ac:dyDescent="0.25">
      <c r="A36" s="1">
        <v>0.63586805555555559</v>
      </c>
      <c r="B36" s="2">
        <f t="shared" si="3"/>
        <v>30.00000000000469</v>
      </c>
      <c r="C36">
        <v>40.339700000000001</v>
      </c>
      <c r="D36" t="str">
        <f t="shared" si="4"/>
        <v/>
      </c>
      <c r="F36" t="e">
        <f t="shared" si="1"/>
        <v>#N/A</v>
      </c>
      <c r="I36">
        <v>36.176499999999997</v>
      </c>
      <c r="J36" s="2" t="e">
        <f t="shared" si="2"/>
        <v>#N/A</v>
      </c>
    </row>
    <row r="37" spans="1:10" x14ac:dyDescent="0.25">
      <c r="A37" s="1">
        <v>0.63587962962962963</v>
      </c>
      <c r="B37" s="2">
        <f t="shared" si="3"/>
        <v>31.000000000001648</v>
      </c>
      <c r="C37">
        <v>40.233899999999998</v>
      </c>
      <c r="D37" t="str">
        <f t="shared" si="4"/>
        <v/>
      </c>
      <c r="F37" t="e">
        <f t="shared" si="1"/>
        <v>#N/A</v>
      </c>
      <c r="I37">
        <v>36.176499999999997</v>
      </c>
      <c r="J37" s="2" t="e">
        <f t="shared" si="2"/>
        <v>#N/A</v>
      </c>
    </row>
    <row r="38" spans="1:10" x14ac:dyDescent="0.25">
      <c r="A38" s="1">
        <v>0.63589120370370367</v>
      </c>
      <c r="B38" s="2">
        <f t="shared" si="3"/>
        <v>31.999999999998607</v>
      </c>
      <c r="C38">
        <v>40.123399999999997</v>
      </c>
      <c r="D38" t="str">
        <f t="shared" si="4"/>
        <v/>
      </c>
      <c r="F38" t="e">
        <f t="shared" si="1"/>
        <v>#N/A</v>
      </c>
      <c r="I38">
        <v>36.176499999999997</v>
      </c>
      <c r="J38" s="2" t="e">
        <f t="shared" si="2"/>
        <v>#N/A</v>
      </c>
    </row>
    <row r="39" spans="1:10" x14ac:dyDescent="0.25">
      <c r="A39" s="1">
        <v>0.63590277777777782</v>
      </c>
      <c r="B39" s="2">
        <f t="shared" si="3"/>
        <v>33.000000000005159</v>
      </c>
      <c r="C39">
        <v>40.0139</v>
      </c>
      <c r="D39" t="str">
        <f t="shared" si="4"/>
        <v/>
      </c>
      <c r="E39">
        <v>1</v>
      </c>
      <c r="F39">
        <f t="shared" si="1"/>
        <v>40.0139</v>
      </c>
      <c r="I39">
        <v>36.176499999999997</v>
      </c>
      <c r="J39" s="2">
        <f t="shared" si="2"/>
        <v>36.176499999999997</v>
      </c>
    </row>
    <row r="40" spans="1:10" x14ac:dyDescent="0.25">
      <c r="A40" s="1">
        <v>0.63591435185185186</v>
      </c>
      <c r="B40" s="2">
        <f t="shared" si="3"/>
        <v>34.000000000002117</v>
      </c>
      <c r="C40">
        <v>39.895299999999999</v>
      </c>
      <c r="D40" t="str">
        <f t="shared" si="4"/>
        <v/>
      </c>
      <c r="F40" t="e">
        <f t="shared" si="1"/>
        <v>#N/A</v>
      </c>
      <c r="I40">
        <v>36.176499999999997</v>
      </c>
      <c r="J40" s="2" t="e">
        <f t="shared" si="2"/>
        <v>#N/A</v>
      </c>
    </row>
    <row r="41" spans="1:10" x14ac:dyDescent="0.25">
      <c r="A41" s="1">
        <v>0.63592592592592589</v>
      </c>
      <c r="B41" s="2">
        <f t="shared" si="3"/>
        <v>34.999999999999076</v>
      </c>
      <c r="C41">
        <v>39.780500000000004</v>
      </c>
      <c r="D41" t="str">
        <f t="shared" si="4"/>
        <v/>
      </c>
      <c r="F41" t="e">
        <f t="shared" si="1"/>
        <v>#N/A</v>
      </c>
      <c r="I41">
        <v>36.176499999999997</v>
      </c>
      <c r="J41" s="2" t="e">
        <f t="shared" si="2"/>
        <v>#N/A</v>
      </c>
    </row>
    <row r="42" spans="1:10" x14ac:dyDescent="0.25">
      <c r="A42" s="1">
        <v>0.63593750000000004</v>
      </c>
      <c r="B42" s="2">
        <f t="shared" si="3"/>
        <v>36.000000000005627</v>
      </c>
      <c r="C42">
        <v>39.674700000000001</v>
      </c>
      <c r="D42" t="str">
        <f t="shared" si="4"/>
        <v/>
      </c>
      <c r="F42" t="e">
        <f t="shared" si="1"/>
        <v>#N/A</v>
      </c>
      <c r="I42">
        <v>36.176499999999997</v>
      </c>
      <c r="J42" s="2" t="e">
        <f t="shared" si="2"/>
        <v>#N/A</v>
      </c>
    </row>
    <row r="43" spans="1:10" x14ac:dyDescent="0.25">
      <c r="A43" s="1">
        <v>0.63594907407407408</v>
      </c>
      <c r="B43" s="2">
        <f t="shared" si="3"/>
        <v>37.000000000002586</v>
      </c>
      <c r="C43">
        <v>39.567500000000003</v>
      </c>
      <c r="D43" t="str">
        <f t="shared" si="4"/>
        <v/>
      </c>
      <c r="F43" t="e">
        <f t="shared" si="1"/>
        <v>#N/A</v>
      </c>
      <c r="I43">
        <v>36.176499999999997</v>
      </c>
      <c r="J43" s="2" t="e">
        <f t="shared" si="2"/>
        <v>#N/A</v>
      </c>
    </row>
    <row r="44" spans="1:10" x14ac:dyDescent="0.25">
      <c r="A44" s="1">
        <v>0.63596064814814812</v>
      </c>
      <c r="B44" s="2">
        <f t="shared" si="3"/>
        <v>37.999999999999545</v>
      </c>
      <c r="C44">
        <v>39.444499999999998</v>
      </c>
      <c r="D44" t="str">
        <f t="shared" si="4"/>
        <v/>
      </c>
      <c r="F44" t="e">
        <f t="shared" si="1"/>
        <v>#N/A</v>
      </c>
      <c r="I44">
        <v>36.176499999999997</v>
      </c>
      <c r="J44" s="2" t="e">
        <f t="shared" si="2"/>
        <v>#N/A</v>
      </c>
    </row>
    <row r="45" spans="1:10" x14ac:dyDescent="0.25">
      <c r="A45" s="1">
        <v>0.63597222222222227</v>
      </c>
      <c r="B45" s="2">
        <f t="shared" si="3"/>
        <v>39.000000000006096</v>
      </c>
      <c r="C45">
        <v>39.351500000000001</v>
      </c>
      <c r="D45" t="str">
        <f t="shared" si="4"/>
        <v/>
      </c>
      <c r="F45" t="e">
        <f t="shared" si="1"/>
        <v>#N/A</v>
      </c>
      <c r="I45">
        <v>36.176499999999997</v>
      </c>
      <c r="J45" s="2" t="e">
        <f t="shared" si="2"/>
        <v>#N/A</v>
      </c>
    </row>
    <row r="46" spans="1:10" x14ac:dyDescent="0.25">
      <c r="A46" s="1">
        <v>0.63598379629629631</v>
      </c>
      <c r="B46" s="2">
        <f t="shared" si="3"/>
        <v>40.000000000003055</v>
      </c>
      <c r="C46">
        <v>39.244300000000003</v>
      </c>
      <c r="D46" t="str">
        <f t="shared" si="4"/>
        <v/>
      </c>
      <c r="F46" t="e">
        <f t="shared" si="1"/>
        <v>#N/A</v>
      </c>
      <c r="I46">
        <v>36.176499999999997</v>
      </c>
      <c r="J46" s="2" t="e">
        <f t="shared" si="2"/>
        <v>#N/A</v>
      </c>
    </row>
    <row r="47" spans="1:10" x14ac:dyDescent="0.25">
      <c r="A47" s="1">
        <v>0.63599537037037035</v>
      </c>
      <c r="B47" s="2">
        <f t="shared" si="3"/>
        <v>41.000000000000014</v>
      </c>
      <c r="C47">
        <v>39.149299999999997</v>
      </c>
      <c r="D47" t="str">
        <f t="shared" si="4"/>
        <v/>
      </c>
      <c r="F47" t="e">
        <f t="shared" si="1"/>
        <v>#N/A</v>
      </c>
      <c r="I47">
        <v>36.176499999999997</v>
      </c>
      <c r="J47" s="2" t="e">
        <f t="shared" si="2"/>
        <v>#N/A</v>
      </c>
    </row>
    <row r="48" spans="1:10" x14ac:dyDescent="0.25">
      <c r="A48" s="1">
        <v>0.6360069444444445</v>
      </c>
      <c r="B48" s="2">
        <f t="shared" si="3"/>
        <v>42.000000000006565</v>
      </c>
      <c r="C48">
        <v>39.046100000000003</v>
      </c>
      <c r="D48" t="str">
        <f t="shared" si="4"/>
        <v/>
      </c>
      <c r="F48" t="e">
        <f t="shared" si="1"/>
        <v>#N/A</v>
      </c>
      <c r="I48">
        <v>36.176499999999997</v>
      </c>
      <c r="J48" s="2" t="e">
        <f t="shared" si="2"/>
        <v>#N/A</v>
      </c>
    </row>
    <row r="49" spans="1:10" x14ac:dyDescent="0.25">
      <c r="A49" s="1">
        <v>0.63601851851851854</v>
      </c>
      <c r="B49" s="2">
        <f t="shared" si="3"/>
        <v>43.000000000003524</v>
      </c>
      <c r="C49">
        <v>38.947499999999998</v>
      </c>
      <c r="D49" t="str">
        <f t="shared" si="4"/>
        <v/>
      </c>
      <c r="F49" t="e">
        <f t="shared" si="1"/>
        <v>#N/A</v>
      </c>
      <c r="I49">
        <v>36.176499999999997</v>
      </c>
      <c r="J49" s="2" t="e">
        <f t="shared" si="2"/>
        <v>#N/A</v>
      </c>
    </row>
    <row r="50" spans="1:10" x14ac:dyDescent="0.25">
      <c r="A50" s="1">
        <v>0.63603009259259258</v>
      </c>
      <c r="B50" s="2">
        <f t="shared" si="3"/>
        <v>44.000000000000483</v>
      </c>
      <c r="C50">
        <v>38.854700000000001</v>
      </c>
      <c r="D50" t="str">
        <f t="shared" si="4"/>
        <v/>
      </c>
      <c r="F50" t="e">
        <f t="shared" si="1"/>
        <v>#N/A</v>
      </c>
      <c r="I50">
        <v>36.176499999999997</v>
      </c>
      <c r="J50" s="2" t="e">
        <f t="shared" si="2"/>
        <v>#N/A</v>
      </c>
    </row>
    <row r="51" spans="1:10" x14ac:dyDescent="0.25">
      <c r="A51" s="1">
        <v>0.63604166666666662</v>
      </c>
      <c r="B51" s="2">
        <f t="shared" si="3"/>
        <v>44.999999999997442</v>
      </c>
      <c r="C51">
        <v>38.746600000000001</v>
      </c>
      <c r="D51" t="str">
        <f t="shared" si="4"/>
        <v/>
      </c>
      <c r="F51" t="e">
        <f t="shared" si="1"/>
        <v>#N/A</v>
      </c>
      <c r="I51">
        <v>36.176499999999997</v>
      </c>
      <c r="J51" s="2" t="e">
        <f t="shared" si="2"/>
        <v>#N/A</v>
      </c>
    </row>
    <row r="52" spans="1:10" x14ac:dyDescent="0.25">
      <c r="A52" s="1">
        <v>0.63605324074074077</v>
      </c>
      <c r="B52" s="2">
        <f t="shared" si="3"/>
        <v>46.000000000003993</v>
      </c>
      <c r="C52">
        <v>38.6233</v>
      </c>
      <c r="D52" t="str">
        <f t="shared" si="4"/>
        <v/>
      </c>
      <c r="F52" t="e">
        <f t="shared" si="1"/>
        <v>#N/A</v>
      </c>
      <c r="I52">
        <v>36.176499999999997</v>
      </c>
      <c r="J52" s="2" t="e">
        <f t="shared" si="2"/>
        <v>#N/A</v>
      </c>
    </row>
    <row r="53" spans="1:10" x14ac:dyDescent="0.25">
      <c r="A53" s="1">
        <v>0.63606481481481481</v>
      </c>
      <c r="B53" s="2">
        <f t="shared" si="3"/>
        <v>47.000000000000952</v>
      </c>
      <c r="C53">
        <v>38.525700000000001</v>
      </c>
      <c r="D53" t="str">
        <f t="shared" si="4"/>
        <v/>
      </c>
      <c r="F53" t="e">
        <f t="shared" si="1"/>
        <v>#N/A</v>
      </c>
      <c r="I53">
        <v>36.176499999999997</v>
      </c>
      <c r="J53" s="2" t="e">
        <f t="shared" si="2"/>
        <v>#N/A</v>
      </c>
    </row>
    <row r="54" spans="1:10" x14ac:dyDescent="0.25">
      <c r="A54" s="1">
        <v>0.63607638888888884</v>
      </c>
      <c r="B54" s="2">
        <f t="shared" si="3"/>
        <v>47.999999999997911</v>
      </c>
      <c r="C54">
        <v>38.422800000000002</v>
      </c>
      <c r="D54" t="str">
        <f t="shared" si="4"/>
        <v/>
      </c>
      <c r="F54" t="e">
        <f t="shared" si="1"/>
        <v>#N/A</v>
      </c>
      <c r="I54">
        <v>36.176499999999997</v>
      </c>
      <c r="J54" s="2" t="e">
        <f t="shared" si="2"/>
        <v>#N/A</v>
      </c>
    </row>
    <row r="55" spans="1:10" x14ac:dyDescent="0.25">
      <c r="A55" s="1">
        <v>0.63608796296296299</v>
      </c>
      <c r="B55" s="2">
        <f t="shared" si="3"/>
        <v>49.000000000004462</v>
      </c>
      <c r="C55">
        <v>38.317599999999999</v>
      </c>
      <c r="D55" t="str">
        <f t="shared" si="4"/>
        <v/>
      </c>
      <c r="F55" t="e">
        <f t="shared" si="1"/>
        <v>#N/A</v>
      </c>
      <c r="I55">
        <v>36.176499999999997</v>
      </c>
      <c r="J55" s="2" t="e">
        <f t="shared" si="2"/>
        <v>#N/A</v>
      </c>
    </row>
    <row r="56" spans="1:10" x14ac:dyDescent="0.25">
      <c r="A56" s="1">
        <v>0.63609953703703703</v>
      </c>
      <c r="B56" s="2">
        <f t="shared" si="3"/>
        <v>50.000000000001421</v>
      </c>
      <c r="C56">
        <v>38.217599999999997</v>
      </c>
      <c r="D56" t="str">
        <f t="shared" si="4"/>
        <v/>
      </c>
      <c r="F56" t="e">
        <f t="shared" si="1"/>
        <v>#N/A</v>
      </c>
      <c r="I56">
        <v>36.176499999999997</v>
      </c>
      <c r="J56" s="2" t="e">
        <f t="shared" si="2"/>
        <v>#N/A</v>
      </c>
    </row>
    <row r="57" spans="1:10" x14ac:dyDescent="0.25">
      <c r="A57" s="1">
        <v>0.63611111111111107</v>
      </c>
      <c r="B57" s="2">
        <f t="shared" si="3"/>
        <v>50.99999999999838</v>
      </c>
      <c r="C57">
        <v>38.112400000000001</v>
      </c>
      <c r="D57" t="str">
        <f t="shared" si="4"/>
        <v/>
      </c>
      <c r="F57" t="e">
        <f t="shared" si="1"/>
        <v>#N/A</v>
      </c>
      <c r="I57">
        <v>36.176499999999997</v>
      </c>
      <c r="J57" s="2" t="e">
        <f t="shared" si="2"/>
        <v>#N/A</v>
      </c>
    </row>
    <row r="58" spans="1:10" x14ac:dyDescent="0.25">
      <c r="A58" s="1">
        <v>0.63612268518518522</v>
      </c>
      <c r="B58" s="2">
        <f t="shared" si="3"/>
        <v>52.000000000004931</v>
      </c>
      <c r="C58">
        <v>38.021999999999998</v>
      </c>
      <c r="D58" t="str">
        <f t="shared" si="4"/>
        <v/>
      </c>
      <c r="E58">
        <v>1</v>
      </c>
      <c r="F58">
        <f t="shared" si="1"/>
        <v>38.021999999999998</v>
      </c>
      <c r="I58">
        <v>36.176499999999997</v>
      </c>
      <c r="J58" s="2">
        <f t="shared" si="2"/>
        <v>36.176499999999997</v>
      </c>
    </row>
    <row r="59" spans="1:10" x14ac:dyDescent="0.25">
      <c r="A59" s="1">
        <v>0.63613425925925926</v>
      </c>
      <c r="B59" s="2">
        <f t="shared" si="3"/>
        <v>53.00000000000189</v>
      </c>
      <c r="C59">
        <v>37.926299999999998</v>
      </c>
      <c r="D59" t="str">
        <f t="shared" si="4"/>
        <v/>
      </c>
      <c r="F59" t="e">
        <f t="shared" si="1"/>
        <v>#N/A</v>
      </c>
      <c r="I59">
        <v>36.176499999999997</v>
      </c>
      <c r="J59" s="2" t="e">
        <f t="shared" si="2"/>
        <v>#N/A</v>
      </c>
    </row>
    <row r="60" spans="1:10" x14ac:dyDescent="0.25">
      <c r="A60" s="1">
        <v>0.6361458333333333</v>
      </c>
      <c r="B60" s="2">
        <f t="shared" si="3"/>
        <v>53.999999999998849</v>
      </c>
      <c r="C60">
        <v>37.8277</v>
      </c>
      <c r="D60" t="str">
        <f t="shared" si="4"/>
        <v/>
      </c>
      <c r="F60" t="e">
        <f t="shared" si="1"/>
        <v>#N/A</v>
      </c>
      <c r="I60">
        <v>36.176499999999997</v>
      </c>
      <c r="J60" s="2" t="e">
        <f t="shared" si="2"/>
        <v>#N/A</v>
      </c>
    </row>
    <row r="61" spans="1:10" x14ac:dyDescent="0.25">
      <c r="A61" s="1">
        <v>0.63615740740740745</v>
      </c>
      <c r="B61" s="2">
        <f t="shared" si="3"/>
        <v>55.0000000000054</v>
      </c>
      <c r="C61">
        <v>37.721499999999999</v>
      </c>
      <c r="D61" t="str">
        <f t="shared" si="4"/>
        <v/>
      </c>
      <c r="F61" t="e">
        <f t="shared" si="1"/>
        <v>#N/A</v>
      </c>
      <c r="I61">
        <v>36.176499999999997</v>
      </c>
      <c r="J61" s="2" t="e">
        <f t="shared" si="2"/>
        <v>#N/A</v>
      </c>
    </row>
    <row r="62" spans="1:10" x14ac:dyDescent="0.25">
      <c r="A62" s="1">
        <v>0.63616898148148149</v>
      </c>
      <c r="B62" s="2">
        <f t="shared" si="3"/>
        <v>56.000000000002359</v>
      </c>
      <c r="C62">
        <v>37.626800000000003</v>
      </c>
      <c r="D62" t="str">
        <f t="shared" si="4"/>
        <v/>
      </c>
      <c r="F62" t="e">
        <f t="shared" si="1"/>
        <v>#N/A</v>
      </c>
      <c r="I62">
        <v>36.176499999999997</v>
      </c>
      <c r="J62" s="2" t="e">
        <f t="shared" si="2"/>
        <v>#N/A</v>
      </c>
    </row>
    <row r="63" spans="1:10" x14ac:dyDescent="0.25">
      <c r="A63" s="1">
        <v>0.63618055555555553</v>
      </c>
      <c r="B63" s="2">
        <f t="shared" si="3"/>
        <v>56.999999999999318</v>
      </c>
      <c r="C63">
        <v>37.5364</v>
      </c>
      <c r="D63" t="str">
        <f t="shared" si="4"/>
        <v/>
      </c>
      <c r="F63" t="e">
        <f t="shared" si="1"/>
        <v>#N/A</v>
      </c>
      <c r="I63">
        <v>36.176499999999997</v>
      </c>
      <c r="J63" s="2" t="e">
        <f t="shared" si="2"/>
        <v>#N/A</v>
      </c>
    </row>
    <row r="64" spans="1:10" x14ac:dyDescent="0.25">
      <c r="A64" s="1">
        <v>0.63619212962962968</v>
      </c>
      <c r="B64" s="2">
        <f t="shared" si="3"/>
        <v>58.000000000005869</v>
      </c>
      <c r="C64">
        <v>37.441699999999997</v>
      </c>
      <c r="D64" t="str">
        <f t="shared" si="4"/>
        <v/>
      </c>
      <c r="F64" t="e">
        <f t="shared" si="1"/>
        <v>#N/A</v>
      </c>
      <c r="I64">
        <v>36.176499999999997</v>
      </c>
      <c r="J64" s="2" t="e">
        <f t="shared" si="2"/>
        <v>#N/A</v>
      </c>
    </row>
    <row r="65" spans="1:10" x14ac:dyDescent="0.25">
      <c r="A65" s="1">
        <v>0.63620370370370372</v>
      </c>
      <c r="B65" s="2">
        <f t="shared" si="3"/>
        <v>59.000000000002828</v>
      </c>
      <c r="C65">
        <v>37.358600000000003</v>
      </c>
      <c r="D65" t="str">
        <f t="shared" si="4"/>
        <v/>
      </c>
      <c r="F65" t="e">
        <f t="shared" si="1"/>
        <v>#N/A</v>
      </c>
      <c r="I65">
        <v>36.176499999999997</v>
      </c>
      <c r="J65" s="2" t="e">
        <f t="shared" si="2"/>
        <v>#N/A</v>
      </c>
    </row>
    <row r="66" spans="1:10" x14ac:dyDescent="0.25">
      <c r="A66" s="1">
        <v>0.63621527777777775</v>
      </c>
      <c r="B66" s="2">
        <f t="shared" si="3"/>
        <v>59.999999999999787</v>
      </c>
      <c r="C66">
        <v>37.266800000000003</v>
      </c>
      <c r="D66" t="str">
        <f t="shared" ref="D66:D97" si="5">IF(AND(C66&gt;C65,C66&gt;C67),"PEAK",
 IF(AND(C66&lt;C65,C66&lt;C67),"BOTTOM",""))</f>
        <v/>
      </c>
      <c r="F66" t="e">
        <f t="shared" si="1"/>
        <v>#N/A</v>
      </c>
      <c r="I66">
        <v>36.176499999999997</v>
      </c>
      <c r="J66" s="2" t="e">
        <f t="shared" si="2"/>
        <v>#N/A</v>
      </c>
    </row>
    <row r="67" spans="1:10" x14ac:dyDescent="0.25">
      <c r="A67" s="1">
        <v>0.6362268518518519</v>
      </c>
      <c r="B67" s="2">
        <f t="shared" si="3"/>
        <v>61.000000000006338</v>
      </c>
      <c r="C67">
        <v>37.179099999999998</v>
      </c>
      <c r="D67" t="str">
        <f t="shared" si="5"/>
        <v/>
      </c>
      <c r="F67" t="e">
        <f t="shared" si="1"/>
        <v>#N/A</v>
      </c>
      <c r="I67">
        <v>36.176499999999997</v>
      </c>
      <c r="J67" s="2" t="e">
        <f t="shared" si="2"/>
        <v>#N/A</v>
      </c>
    </row>
    <row r="68" spans="1:10" x14ac:dyDescent="0.25">
      <c r="A68" s="1">
        <v>0.63623842592592594</v>
      </c>
      <c r="B68" s="2">
        <f t="shared" si="3"/>
        <v>62.000000000003297</v>
      </c>
      <c r="C68">
        <v>37.0837</v>
      </c>
      <c r="D68" t="str">
        <f t="shared" si="5"/>
        <v/>
      </c>
      <c r="F68" t="e">
        <f t="shared" si="1"/>
        <v>#N/A</v>
      </c>
      <c r="I68">
        <v>36.176499999999997</v>
      </c>
      <c r="J68" s="2" t="e">
        <f t="shared" ref="J68:J133" si="6">IF(E68=1,I68,NA())</f>
        <v>#N/A</v>
      </c>
    </row>
    <row r="69" spans="1:10" x14ac:dyDescent="0.25">
      <c r="A69" s="1">
        <v>0.63624999999999998</v>
      </c>
      <c r="B69" s="2">
        <f t="shared" si="3"/>
        <v>63.000000000000256</v>
      </c>
      <c r="C69">
        <v>36.991</v>
      </c>
      <c r="D69" t="str">
        <f t="shared" si="5"/>
        <v/>
      </c>
      <c r="F69" t="e">
        <f t="shared" si="1"/>
        <v>#N/A</v>
      </c>
      <c r="I69">
        <v>36.176499999999997</v>
      </c>
      <c r="J69" s="2" t="e">
        <f t="shared" si="6"/>
        <v>#N/A</v>
      </c>
    </row>
    <row r="70" spans="1:10" x14ac:dyDescent="0.25">
      <c r="A70" s="1">
        <v>0.63626157407407402</v>
      </c>
      <c r="B70" s="2">
        <f t="shared" si="3"/>
        <v>63.999999999997215</v>
      </c>
      <c r="C70">
        <v>36.898600000000002</v>
      </c>
      <c r="D70" t="str">
        <f t="shared" si="5"/>
        <v/>
      </c>
      <c r="F70" t="e">
        <f t="shared" ref="F70:F133" si="7">IF(E70=1,C70,NA())</f>
        <v>#N/A</v>
      </c>
      <c r="I70">
        <v>36.176499999999997</v>
      </c>
      <c r="J70" s="2" t="e">
        <f t="shared" si="6"/>
        <v>#N/A</v>
      </c>
    </row>
    <row r="71" spans="1:10" x14ac:dyDescent="0.25">
      <c r="A71" s="1">
        <v>0.63627314814814817</v>
      </c>
      <c r="B71" s="2">
        <f t="shared" ref="B71:B134" si="8">(A71-$A$6)*86400</f>
        <v>65.000000000003766</v>
      </c>
      <c r="C71">
        <v>36.813800000000001</v>
      </c>
      <c r="D71" t="str">
        <f t="shared" si="5"/>
        <v/>
      </c>
      <c r="F71" t="e">
        <f t="shared" si="7"/>
        <v>#N/A</v>
      </c>
      <c r="I71">
        <v>36.176499999999997</v>
      </c>
      <c r="J71" s="2" t="e">
        <f t="shared" si="6"/>
        <v>#N/A</v>
      </c>
    </row>
    <row r="72" spans="1:10" x14ac:dyDescent="0.25">
      <c r="A72" s="1">
        <v>0.63628472222222221</v>
      </c>
      <c r="B72" s="2">
        <f t="shared" si="8"/>
        <v>66.000000000000725</v>
      </c>
      <c r="C72">
        <v>36.7254</v>
      </c>
      <c r="D72" t="str">
        <f t="shared" si="5"/>
        <v/>
      </c>
      <c r="F72" t="e">
        <f t="shared" si="7"/>
        <v>#N/A</v>
      </c>
      <c r="I72">
        <v>36.176499999999997</v>
      </c>
      <c r="J72" s="2" t="e">
        <f t="shared" si="6"/>
        <v>#N/A</v>
      </c>
    </row>
    <row r="73" spans="1:10" x14ac:dyDescent="0.25">
      <c r="A73" s="1">
        <v>0.63629629629629625</v>
      </c>
      <c r="B73" s="2">
        <f t="shared" si="8"/>
        <v>66.999999999997684</v>
      </c>
      <c r="C73">
        <v>36.639600000000002</v>
      </c>
      <c r="D73" t="str">
        <f t="shared" si="5"/>
        <v/>
      </c>
      <c r="F73" t="e">
        <f t="shared" si="7"/>
        <v>#N/A</v>
      </c>
      <c r="I73">
        <v>36.176499999999997</v>
      </c>
      <c r="J73" s="2" t="e">
        <f t="shared" si="6"/>
        <v>#N/A</v>
      </c>
    </row>
    <row r="74" spans="1:10" x14ac:dyDescent="0.25">
      <c r="A74" s="1">
        <v>0.6363078703703704</v>
      </c>
      <c r="B74" s="2">
        <f t="shared" si="8"/>
        <v>68.000000000004235</v>
      </c>
      <c r="C74">
        <v>36.538600000000002</v>
      </c>
      <c r="D74" t="str">
        <f t="shared" si="5"/>
        <v/>
      </c>
      <c r="F74" t="e">
        <f t="shared" si="7"/>
        <v>#N/A</v>
      </c>
      <c r="I74">
        <v>36.176499999999997</v>
      </c>
      <c r="J74" s="2" t="e">
        <f t="shared" si="6"/>
        <v>#N/A</v>
      </c>
    </row>
    <row r="75" spans="1:10" x14ac:dyDescent="0.25">
      <c r="A75" s="1">
        <v>0.63631944444444444</v>
      </c>
      <c r="B75" s="2">
        <f t="shared" si="8"/>
        <v>69.000000000001194</v>
      </c>
      <c r="C75">
        <v>36.447200000000002</v>
      </c>
      <c r="D75" t="str">
        <f t="shared" si="5"/>
        <v/>
      </c>
      <c r="F75" t="e">
        <f t="shared" si="7"/>
        <v>#N/A</v>
      </c>
      <c r="I75">
        <v>36.176499999999997</v>
      </c>
      <c r="J75" s="2" t="e">
        <f t="shared" si="6"/>
        <v>#N/A</v>
      </c>
    </row>
    <row r="76" spans="1:10" x14ac:dyDescent="0.25">
      <c r="A76" s="1">
        <v>0.63633101851851848</v>
      </c>
      <c r="B76" s="2">
        <f t="shared" si="8"/>
        <v>69.999999999998153</v>
      </c>
      <c r="C76">
        <v>36.356200000000001</v>
      </c>
      <c r="D76" t="str">
        <f t="shared" si="5"/>
        <v/>
      </c>
      <c r="F76" t="e">
        <f t="shared" si="7"/>
        <v>#N/A</v>
      </c>
      <c r="I76">
        <v>36.176499999999997</v>
      </c>
      <c r="J76" s="2" t="e">
        <f t="shared" si="6"/>
        <v>#N/A</v>
      </c>
    </row>
    <row r="77" spans="1:10" x14ac:dyDescent="0.25">
      <c r="A77" s="1">
        <v>0.63634259259259263</v>
      </c>
      <c r="B77" s="2">
        <f t="shared" si="8"/>
        <v>71.000000000004704</v>
      </c>
      <c r="C77">
        <v>36.274000000000001</v>
      </c>
      <c r="D77" t="str">
        <f t="shared" si="5"/>
        <v/>
      </c>
      <c r="F77" t="e">
        <f t="shared" si="7"/>
        <v>#N/A</v>
      </c>
      <c r="I77">
        <v>36.176499999999997</v>
      </c>
      <c r="J77" s="2" t="e">
        <f t="shared" si="6"/>
        <v>#N/A</v>
      </c>
    </row>
    <row r="78" spans="1:10" x14ac:dyDescent="0.25">
      <c r="A78" s="1">
        <v>0.63635416666666667</v>
      </c>
      <c r="B78" s="2">
        <f t="shared" si="8"/>
        <v>72.000000000001663</v>
      </c>
      <c r="C78">
        <v>36.183900000000001</v>
      </c>
      <c r="D78" t="str">
        <f t="shared" si="5"/>
        <v/>
      </c>
      <c r="F78" t="e">
        <f t="shared" si="7"/>
        <v>#N/A</v>
      </c>
      <c r="I78">
        <v>36.176499999999997</v>
      </c>
      <c r="J78" s="2" t="e">
        <f t="shared" si="6"/>
        <v>#N/A</v>
      </c>
    </row>
    <row r="79" spans="1:10" x14ac:dyDescent="0.25">
      <c r="A79" s="1">
        <v>0.6363657407407407</v>
      </c>
      <c r="B79" s="2">
        <f t="shared" si="8"/>
        <v>72.999999999998622</v>
      </c>
      <c r="C79">
        <v>36.118200000000002</v>
      </c>
      <c r="D79" t="str">
        <f t="shared" si="5"/>
        <v>BOTTOM</v>
      </c>
      <c r="E79">
        <v>1</v>
      </c>
      <c r="F79">
        <f t="shared" si="7"/>
        <v>36.118200000000002</v>
      </c>
      <c r="I79">
        <v>36.176499999999997</v>
      </c>
      <c r="J79" s="2">
        <f t="shared" si="6"/>
        <v>36.176499999999997</v>
      </c>
    </row>
    <row r="80" spans="1:10" x14ac:dyDescent="0.25">
      <c r="A80" s="1">
        <v>0.63637731481481485</v>
      </c>
      <c r="B80" s="2">
        <f t="shared" si="8"/>
        <v>74.000000000005173</v>
      </c>
      <c r="C80">
        <v>36.216799999999999</v>
      </c>
      <c r="D80" t="str">
        <f t="shared" si="5"/>
        <v/>
      </c>
      <c r="F80" t="e">
        <f t="shared" si="7"/>
        <v>#N/A</v>
      </c>
      <c r="I80">
        <v>36.176499999999997</v>
      </c>
      <c r="J80" s="2" t="e">
        <f t="shared" si="6"/>
        <v>#N/A</v>
      </c>
    </row>
    <row r="81" spans="1:10" x14ac:dyDescent="0.25">
      <c r="A81" s="1">
        <v>0.63638888888888889</v>
      </c>
      <c r="B81" s="2">
        <f t="shared" si="8"/>
        <v>75.000000000002132</v>
      </c>
      <c r="C81">
        <v>36.585000000000001</v>
      </c>
      <c r="D81" t="str">
        <f t="shared" si="5"/>
        <v/>
      </c>
      <c r="E81">
        <v>1</v>
      </c>
      <c r="F81">
        <f t="shared" si="7"/>
        <v>36.585000000000001</v>
      </c>
      <c r="I81">
        <v>36.176499999999997</v>
      </c>
      <c r="J81" s="2">
        <f t="shared" si="6"/>
        <v>36.176499999999997</v>
      </c>
    </row>
    <row r="82" spans="1:10" x14ac:dyDescent="0.25">
      <c r="A82" s="1">
        <v>0.63640046296296293</v>
      </c>
      <c r="B82" s="2">
        <f t="shared" si="8"/>
        <v>75.999999999999091</v>
      </c>
      <c r="C82">
        <v>37.088700000000003</v>
      </c>
      <c r="D82" t="str">
        <f t="shared" si="5"/>
        <v/>
      </c>
      <c r="F82" t="e">
        <f t="shared" si="7"/>
        <v>#N/A</v>
      </c>
      <c r="I82">
        <v>36.176499999999997</v>
      </c>
      <c r="J82" s="2" t="e">
        <f t="shared" si="6"/>
        <v>#N/A</v>
      </c>
    </row>
    <row r="83" spans="1:10" x14ac:dyDescent="0.25">
      <c r="A83" s="1">
        <v>0.63641203703703708</v>
      </c>
      <c r="B83" s="2">
        <f t="shared" si="8"/>
        <v>77.000000000005642</v>
      </c>
      <c r="C83">
        <v>37.5289</v>
      </c>
      <c r="D83" t="str">
        <f t="shared" si="5"/>
        <v/>
      </c>
      <c r="F83" t="e">
        <f t="shared" si="7"/>
        <v>#N/A</v>
      </c>
      <c r="I83">
        <v>36.176499999999997</v>
      </c>
      <c r="J83" s="2" t="e">
        <f t="shared" si="6"/>
        <v>#N/A</v>
      </c>
    </row>
    <row r="84" spans="1:10" x14ac:dyDescent="0.25">
      <c r="A84" s="1">
        <v>0.63642361111111112</v>
      </c>
      <c r="B84" s="2">
        <f t="shared" si="8"/>
        <v>78.000000000002601</v>
      </c>
      <c r="C84">
        <v>37.9056</v>
      </c>
      <c r="D84" t="str">
        <f t="shared" si="5"/>
        <v/>
      </c>
      <c r="E84">
        <v>1</v>
      </c>
      <c r="F84">
        <f t="shared" si="7"/>
        <v>37.9056</v>
      </c>
      <c r="I84">
        <v>36.176499999999997</v>
      </c>
      <c r="J84" s="2">
        <f t="shared" si="6"/>
        <v>36.176499999999997</v>
      </c>
    </row>
    <row r="85" spans="1:10" x14ac:dyDescent="0.25">
      <c r="A85" s="1">
        <v>0.63643518518518516</v>
      </c>
      <c r="B85" s="2">
        <f t="shared" si="8"/>
        <v>78.999999999999559</v>
      </c>
      <c r="C85">
        <v>38.216999999999999</v>
      </c>
      <c r="D85" t="str">
        <f t="shared" si="5"/>
        <v/>
      </c>
      <c r="F85" t="e">
        <f t="shared" si="7"/>
        <v>#N/A</v>
      </c>
      <c r="I85">
        <v>36.176499999999997</v>
      </c>
      <c r="J85" s="2" t="e">
        <f t="shared" si="6"/>
        <v>#N/A</v>
      </c>
    </row>
    <row r="86" spans="1:10" x14ac:dyDescent="0.25">
      <c r="A86" s="1">
        <v>0.63644675925925931</v>
      </c>
      <c r="B86" s="2">
        <f t="shared" si="8"/>
        <v>80.000000000006111</v>
      </c>
      <c r="C86">
        <v>38.4754</v>
      </c>
      <c r="D86" t="str">
        <f t="shared" si="5"/>
        <v/>
      </c>
      <c r="F86" t="e">
        <f t="shared" si="7"/>
        <v>#N/A</v>
      </c>
      <c r="I86">
        <v>36.176499999999997</v>
      </c>
      <c r="J86" s="2" t="e">
        <f t="shared" si="6"/>
        <v>#N/A</v>
      </c>
    </row>
    <row r="87" spans="1:10" x14ac:dyDescent="0.25">
      <c r="A87" s="1">
        <v>0.63645833333333335</v>
      </c>
      <c r="B87" s="2">
        <f t="shared" si="8"/>
        <v>81.00000000000307</v>
      </c>
      <c r="C87">
        <v>38.676600000000001</v>
      </c>
      <c r="D87" t="str">
        <f t="shared" si="5"/>
        <v/>
      </c>
      <c r="F87" t="e">
        <f t="shared" si="7"/>
        <v>#N/A</v>
      </c>
      <c r="I87">
        <v>36.176499999999997</v>
      </c>
      <c r="J87" s="2" t="e">
        <f t="shared" si="6"/>
        <v>#N/A</v>
      </c>
    </row>
    <row r="88" spans="1:10" x14ac:dyDescent="0.25">
      <c r="A88" s="1">
        <v>0.63646990740740739</v>
      </c>
      <c r="B88" s="2">
        <f t="shared" si="8"/>
        <v>82.000000000000028</v>
      </c>
      <c r="C88">
        <v>38.831699999999998</v>
      </c>
      <c r="D88" t="str">
        <f t="shared" si="5"/>
        <v/>
      </c>
      <c r="F88" t="e">
        <f t="shared" si="7"/>
        <v>#N/A</v>
      </c>
      <c r="I88">
        <v>36.176499999999997</v>
      </c>
      <c r="J88" s="2" t="e">
        <f t="shared" si="6"/>
        <v>#N/A</v>
      </c>
    </row>
    <row r="89" spans="1:10" x14ac:dyDescent="0.25">
      <c r="A89" s="1">
        <v>0.63648148148148154</v>
      </c>
      <c r="B89" s="2">
        <f t="shared" si="8"/>
        <v>83.00000000000658</v>
      </c>
      <c r="C89">
        <v>38.9527</v>
      </c>
      <c r="D89" t="str">
        <f t="shared" si="5"/>
        <v/>
      </c>
      <c r="E89">
        <v>1</v>
      </c>
      <c r="F89">
        <f t="shared" si="7"/>
        <v>38.9527</v>
      </c>
      <c r="I89">
        <v>36.176499999999997</v>
      </c>
      <c r="J89" s="2">
        <f t="shared" si="6"/>
        <v>36.176499999999997</v>
      </c>
    </row>
    <row r="90" spans="1:10" x14ac:dyDescent="0.25">
      <c r="A90" s="1">
        <v>0.63649305555555558</v>
      </c>
      <c r="B90" s="2">
        <f t="shared" si="8"/>
        <v>84.000000000003539</v>
      </c>
      <c r="C90">
        <v>39.038200000000003</v>
      </c>
      <c r="D90" t="str">
        <f t="shared" si="5"/>
        <v/>
      </c>
      <c r="F90" t="e">
        <f t="shared" si="7"/>
        <v>#N/A</v>
      </c>
      <c r="I90">
        <v>36.176499999999997</v>
      </c>
      <c r="J90" s="2" t="e">
        <f t="shared" si="6"/>
        <v>#N/A</v>
      </c>
    </row>
    <row r="91" spans="1:10" x14ac:dyDescent="0.25">
      <c r="A91" s="1">
        <v>0.63650462962962961</v>
      </c>
      <c r="B91" s="2">
        <f t="shared" si="8"/>
        <v>85.000000000000497</v>
      </c>
      <c r="C91">
        <v>39.089500000000001</v>
      </c>
      <c r="D91" t="str">
        <f t="shared" si="5"/>
        <v/>
      </c>
      <c r="F91" t="e">
        <f t="shared" si="7"/>
        <v>#N/A</v>
      </c>
      <c r="I91">
        <v>36.176499999999997</v>
      </c>
      <c r="J91" s="2" t="e">
        <f t="shared" si="6"/>
        <v>#N/A</v>
      </c>
    </row>
    <row r="92" spans="1:10" x14ac:dyDescent="0.25">
      <c r="A92" s="1">
        <v>0.63651620370370365</v>
      </c>
      <c r="B92" s="2">
        <f t="shared" si="8"/>
        <v>85.999999999997456</v>
      </c>
      <c r="C92">
        <v>39.118699999999997</v>
      </c>
      <c r="D92" t="str">
        <f t="shared" si="5"/>
        <v/>
      </c>
      <c r="F92" t="e">
        <f t="shared" si="7"/>
        <v>#N/A</v>
      </c>
      <c r="I92">
        <v>36.176499999999997</v>
      </c>
      <c r="J92" s="2" t="e">
        <f t="shared" si="6"/>
        <v>#N/A</v>
      </c>
    </row>
    <row r="93" spans="1:10" x14ac:dyDescent="0.25">
      <c r="A93" s="1">
        <v>0.6365277777777778</v>
      </c>
      <c r="B93" s="2">
        <f t="shared" si="8"/>
        <v>87.000000000004007</v>
      </c>
      <c r="C93">
        <v>39.140099999999997</v>
      </c>
      <c r="D93" t="str">
        <f t="shared" si="5"/>
        <v>PEAK</v>
      </c>
      <c r="E93">
        <v>1</v>
      </c>
      <c r="F93">
        <f t="shared" si="7"/>
        <v>39.140099999999997</v>
      </c>
      <c r="I93">
        <v>36.176499999999997</v>
      </c>
      <c r="J93" s="2">
        <f t="shared" si="6"/>
        <v>36.176499999999997</v>
      </c>
    </row>
    <row r="94" spans="1:10" x14ac:dyDescent="0.25">
      <c r="A94" s="1">
        <v>0.63653935185185184</v>
      </c>
      <c r="B94" s="2">
        <f t="shared" si="8"/>
        <v>88.000000000000966</v>
      </c>
      <c r="C94">
        <v>39.127899999999997</v>
      </c>
      <c r="D94" t="str">
        <f t="shared" ref="D94:D157" si="9">IF(AND(C94&gt;C93,C94&gt;C95),"PEAK",
 IF(AND(C94&lt;C93,C94&lt;C95),"BOTTOM",""))</f>
        <v/>
      </c>
      <c r="F94" t="e">
        <f t="shared" si="7"/>
        <v>#N/A</v>
      </c>
      <c r="I94">
        <v>36.176499999999997</v>
      </c>
      <c r="J94" s="2" t="e">
        <f t="shared" si="6"/>
        <v>#N/A</v>
      </c>
    </row>
    <row r="95" spans="1:10" x14ac:dyDescent="0.25">
      <c r="A95" s="1">
        <v>0.63655092592592588</v>
      </c>
      <c r="B95" s="2">
        <f t="shared" si="8"/>
        <v>88.999999999997925</v>
      </c>
      <c r="C95">
        <v>39.109200000000001</v>
      </c>
      <c r="D95" t="str">
        <f t="shared" si="9"/>
        <v/>
      </c>
      <c r="F95" t="e">
        <f t="shared" si="7"/>
        <v>#N/A</v>
      </c>
      <c r="I95">
        <v>36.176499999999997</v>
      </c>
      <c r="J95" s="2" t="e">
        <f t="shared" si="6"/>
        <v>#N/A</v>
      </c>
    </row>
    <row r="96" spans="1:10" x14ac:dyDescent="0.25">
      <c r="A96" s="1">
        <v>0.63656250000000003</v>
      </c>
      <c r="B96" s="2">
        <f t="shared" si="8"/>
        <v>90.000000000004476</v>
      </c>
      <c r="C96">
        <v>39.089500000000001</v>
      </c>
      <c r="D96" t="str">
        <f t="shared" si="9"/>
        <v/>
      </c>
      <c r="F96" t="e">
        <f t="shared" si="7"/>
        <v>#N/A</v>
      </c>
      <c r="I96">
        <v>36.176499999999997</v>
      </c>
      <c r="J96" s="2" t="e">
        <f t="shared" si="6"/>
        <v>#N/A</v>
      </c>
    </row>
    <row r="97" spans="1:10" x14ac:dyDescent="0.25">
      <c r="A97" s="1">
        <v>0.63657407407407407</v>
      </c>
      <c r="B97" s="2">
        <f t="shared" si="8"/>
        <v>91.000000000001435</v>
      </c>
      <c r="C97">
        <v>39.040500000000002</v>
      </c>
      <c r="D97" t="str">
        <f t="shared" si="9"/>
        <v/>
      </c>
      <c r="F97" t="e">
        <f t="shared" si="7"/>
        <v>#N/A</v>
      </c>
      <c r="I97">
        <v>36.176499999999997</v>
      </c>
      <c r="J97" s="2" t="e">
        <f t="shared" si="6"/>
        <v>#N/A</v>
      </c>
    </row>
    <row r="98" spans="1:10" x14ac:dyDescent="0.25">
      <c r="A98" s="1">
        <v>0.63658564814814811</v>
      </c>
      <c r="B98" s="2">
        <f t="shared" si="8"/>
        <v>91.999999999998394</v>
      </c>
      <c r="C98">
        <v>38.9938</v>
      </c>
      <c r="D98" t="str">
        <f t="shared" si="9"/>
        <v/>
      </c>
      <c r="E98">
        <v>1</v>
      </c>
      <c r="F98">
        <f t="shared" si="7"/>
        <v>38.9938</v>
      </c>
      <c r="I98">
        <v>36.176499999999997</v>
      </c>
      <c r="J98" s="2">
        <f t="shared" si="6"/>
        <v>36.176499999999997</v>
      </c>
    </row>
    <row r="99" spans="1:10" x14ac:dyDescent="0.25">
      <c r="A99" s="1">
        <v>0.63659722222222226</v>
      </c>
      <c r="B99" s="2">
        <f t="shared" si="8"/>
        <v>93.000000000004945</v>
      </c>
      <c r="C99">
        <v>38.930399999999999</v>
      </c>
      <c r="D99" t="str">
        <f t="shared" si="9"/>
        <v/>
      </c>
      <c r="F99" t="e">
        <f t="shared" si="7"/>
        <v>#N/A</v>
      </c>
      <c r="I99">
        <v>36.176499999999997</v>
      </c>
      <c r="J99" s="2" t="e">
        <f t="shared" si="6"/>
        <v>#N/A</v>
      </c>
    </row>
    <row r="100" spans="1:10" x14ac:dyDescent="0.25">
      <c r="A100" s="1">
        <v>0.6366087962962963</v>
      </c>
      <c r="B100" s="2">
        <f t="shared" si="8"/>
        <v>94.000000000001904</v>
      </c>
      <c r="C100">
        <v>38.849200000000003</v>
      </c>
      <c r="D100" t="str">
        <f t="shared" si="9"/>
        <v/>
      </c>
      <c r="F100" t="e">
        <f t="shared" si="7"/>
        <v>#N/A</v>
      </c>
      <c r="I100">
        <v>36.176499999999997</v>
      </c>
      <c r="J100" s="2" t="e">
        <f t="shared" si="6"/>
        <v>#N/A</v>
      </c>
    </row>
    <row r="101" spans="1:10" x14ac:dyDescent="0.25">
      <c r="A101" s="1">
        <v>0.63662037037037034</v>
      </c>
      <c r="B101" s="2">
        <f t="shared" si="8"/>
        <v>94.999999999998863</v>
      </c>
      <c r="C101">
        <v>38.775199999999998</v>
      </c>
      <c r="D101" t="str">
        <f t="shared" si="9"/>
        <v/>
      </c>
      <c r="F101" t="e">
        <f t="shared" si="7"/>
        <v>#N/A</v>
      </c>
      <c r="I101">
        <v>36.176499999999997</v>
      </c>
      <c r="J101" s="2" t="e">
        <f t="shared" si="6"/>
        <v>#N/A</v>
      </c>
    </row>
    <row r="102" spans="1:10" x14ac:dyDescent="0.25">
      <c r="A102" s="1">
        <v>0.63663194444444449</v>
      </c>
      <c r="B102" s="2">
        <f t="shared" si="8"/>
        <v>96.000000000005414</v>
      </c>
      <c r="C102">
        <v>38.707500000000003</v>
      </c>
      <c r="D102" t="str">
        <f t="shared" si="9"/>
        <v/>
      </c>
      <c r="F102" t="e">
        <f t="shared" si="7"/>
        <v>#N/A</v>
      </c>
      <c r="I102">
        <v>36.176499999999997</v>
      </c>
      <c r="J102" s="2" t="e">
        <f t="shared" si="6"/>
        <v>#N/A</v>
      </c>
    </row>
    <row r="103" spans="1:10" x14ac:dyDescent="0.25">
      <c r="A103" s="1">
        <v>0.63664351851851853</v>
      </c>
      <c r="B103" s="2">
        <f t="shared" si="8"/>
        <v>97.000000000002373</v>
      </c>
      <c r="C103">
        <v>38.614400000000003</v>
      </c>
      <c r="D103" t="str">
        <f t="shared" si="9"/>
        <v/>
      </c>
      <c r="F103" t="e">
        <f t="shared" si="7"/>
        <v>#N/A</v>
      </c>
      <c r="I103">
        <v>36.176499999999997</v>
      </c>
      <c r="J103" s="2" t="e">
        <f t="shared" si="6"/>
        <v>#N/A</v>
      </c>
    </row>
    <row r="104" spans="1:10" x14ac:dyDescent="0.25">
      <c r="A104" s="1">
        <v>0.63665509259259256</v>
      </c>
      <c r="B104" s="2">
        <f t="shared" si="8"/>
        <v>97.999999999999332</v>
      </c>
      <c r="C104">
        <v>38.537199999999999</v>
      </c>
      <c r="D104" t="str">
        <f t="shared" si="9"/>
        <v/>
      </c>
      <c r="F104" t="e">
        <f t="shared" si="7"/>
        <v>#N/A</v>
      </c>
      <c r="I104">
        <v>36.176499999999997</v>
      </c>
      <c r="J104" s="2" t="e">
        <f t="shared" si="6"/>
        <v>#N/A</v>
      </c>
    </row>
    <row r="105" spans="1:10" x14ac:dyDescent="0.25">
      <c r="A105" s="1">
        <v>0.63666666666666671</v>
      </c>
      <c r="B105" s="2">
        <f t="shared" si="8"/>
        <v>99.000000000005883</v>
      </c>
      <c r="C105">
        <v>38.452300000000001</v>
      </c>
      <c r="D105" t="str">
        <f t="shared" si="9"/>
        <v/>
      </c>
      <c r="F105" t="e">
        <f t="shared" si="7"/>
        <v>#N/A</v>
      </c>
      <c r="I105">
        <v>36.176499999999997</v>
      </c>
      <c r="J105" s="2" t="e">
        <f t="shared" si="6"/>
        <v>#N/A</v>
      </c>
    </row>
    <row r="106" spans="1:10" x14ac:dyDescent="0.25">
      <c r="A106" s="1">
        <v>0.63667824074074075</v>
      </c>
      <c r="B106" s="2">
        <f t="shared" si="8"/>
        <v>100.00000000000284</v>
      </c>
      <c r="C106">
        <v>38.367199999999997</v>
      </c>
      <c r="D106" t="str">
        <f t="shared" si="9"/>
        <v/>
      </c>
      <c r="F106" t="e">
        <f t="shared" si="7"/>
        <v>#N/A</v>
      </c>
      <c r="I106">
        <v>36.176499999999997</v>
      </c>
      <c r="J106" s="2" t="e">
        <f t="shared" si="6"/>
        <v>#N/A</v>
      </c>
    </row>
    <row r="107" spans="1:10" x14ac:dyDescent="0.25">
      <c r="A107" s="1">
        <v>0.63668981481481479</v>
      </c>
      <c r="B107" s="2">
        <f t="shared" si="8"/>
        <v>100.9999999999998</v>
      </c>
      <c r="C107">
        <v>38.281100000000002</v>
      </c>
      <c r="D107" t="str">
        <f t="shared" si="9"/>
        <v/>
      </c>
      <c r="F107" t="e">
        <f t="shared" si="7"/>
        <v>#N/A</v>
      </c>
      <c r="I107">
        <v>36.176499999999997</v>
      </c>
      <c r="J107" s="2" t="e">
        <f t="shared" si="6"/>
        <v>#N/A</v>
      </c>
    </row>
    <row r="108" spans="1:10" x14ac:dyDescent="0.25">
      <c r="A108" s="1">
        <v>0.63670138888888894</v>
      </c>
      <c r="B108" s="2">
        <f t="shared" si="8"/>
        <v>102.00000000000635</v>
      </c>
      <c r="C108">
        <v>38.192999999999998</v>
      </c>
      <c r="D108" t="str">
        <f t="shared" si="9"/>
        <v/>
      </c>
      <c r="F108" t="e">
        <f t="shared" si="7"/>
        <v>#N/A</v>
      </c>
      <c r="I108">
        <v>36.176499999999997</v>
      </c>
      <c r="J108" s="2" t="e">
        <f t="shared" si="6"/>
        <v>#N/A</v>
      </c>
    </row>
    <row r="109" spans="1:10" x14ac:dyDescent="0.25">
      <c r="A109" s="1">
        <v>0.63671296296296298</v>
      </c>
      <c r="B109" s="2">
        <f t="shared" si="8"/>
        <v>103.00000000000331</v>
      </c>
      <c r="C109">
        <v>38.096600000000002</v>
      </c>
      <c r="D109" t="str">
        <f t="shared" si="9"/>
        <v/>
      </c>
      <c r="F109" t="e">
        <f t="shared" si="7"/>
        <v>#N/A</v>
      </c>
      <c r="I109">
        <v>36.176499999999997</v>
      </c>
      <c r="J109" s="2" t="e">
        <f t="shared" si="6"/>
        <v>#N/A</v>
      </c>
    </row>
    <row r="110" spans="1:10" x14ac:dyDescent="0.25">
      <c r="A110" s="1">
        <v>0.63672453703703702</v>
      </c>
      <c r="B110" s="2">
        <f t="shared" si="8"/>
        <v>104.00000000000027</v>
      </c>
      <c r="C110">
        <v>37.998699999999999</v>
      </c>
      <c r="D110" t="str">
        <f t="shared" si="9"/>
        <v/>
      </c>
      <c r="E110">
        <v>1</v>
      </c>
      <c r="F110">
        <f t="shared" si="7"/>
        <v>37.998699999999999</v>
      </c>
      <c r="I110">
        <v>36.176499999999997</v>
      </c>
      <c r="J110" s="2">
        <f t="shared" si="6"/>
        <v>36.176499999999997</v>
      </c>
    </row>
    <row r="111" spans="1:10" x14ac:dyDescent="0.25">
      <c r="A111" s="1">
        <v>0.63673611111111106</v>
      </c>
      <c r="B111" s="2">
        <f t="shared" si="8"/>
        <v>104.99999999999723</v>
      </c>
      <c r="C111">
        <v>37.913200000000003</v>
      </c>
      <c r="D111" t="str">
        <f t="shared" si="9"/>
        <v/>
      </c>
      <c r="F111" t="e">
        <f t="shared" si="7"/>
        <v>#N/A</v>
      </c>
      <c r="I111">
        <v>36.176499999999997</v>
      </c>
      <c r="J111" s="2" t="e">
        <f t="shared" si="6"/>
        <v>#N/A</v>
      </c>
    </row>
    <row r="112" spans="1:10" x14ac:dyDescent="0.25">
      <c r="A112" s="1">
        <v>0.63674768518518521</v>
      </c>
      <c r="B112" s="2">
        <f t="shared" si="8"/>
        <v>106.00000000000378</v>
      </c>
      <c r="C112">
        <v>37.803699999999999</v>
      </c>
      <c r="D112" t="str">
        <f t="shared" si="9"/>
        <v/>
      </c>
      <c r="F112" t="e">
        <f t="shared" si="7"/>
        <v>#N/A</v>
      </c>
      <c r="I112">
        <v>36.176499999999997</v>
      </c>
      <c r="J112" s="2" t="e">
        <f t="shared" si="6"/>
        <v>#N/A</v>
      </c>
    </row>
    <row r="113" spans="1:10" x14ac:dyDescent="0.25">
      <c r="A113" s="1">
        <v>0.63675925925925925</v>
      </c>
      <c r="B113" s="2">
        <f t="shared" si="8"/>
        <v>107.00000000000074</v>
      </c>
      <c r="C113">
        <v>37.709000000000003</v>
      </c>
      <c r="D113" t="str">
        <f t="shared" si="9"/>
        <v/>
      </c>
      <c r="F113" t="e">
        <f t="shared" si="7"/>
        <v>#N/A</v>
      </c>
      <c r="I113">
        <v>36.176499999999997</v>
      </c>
      <c r="J113" s="2" t="e">
        <f t="shared" si="6"/>
        <v>#N/A</v>
      </c>
    </row>
    <row r="114" spans="1:10" x14ac:dyDescent="0.25">
      <c r="A114" s="1">
        <v>0.63677083333333329</v>
      </c>
      <c r="B114" s="2">
        <f t="shared" si="8"/>
        <v>107.9999999999977</v>
      </c>
      <c r="C114">
        <v>37.626199999999997</v>
      </c>
      <c r="D114" t="str">
        <f t="shared" si="9"/>
        <v/>
      </c>
      <c r="F114" t="e">
        <f t="shared" si="7"/>
        <v>#N/A</v>
      </c>
      <c r="I114">
        <v>36.176499999999997</v>
      </c>
      <c r="J114" s="2" t="e">
        <f t="shared" si="6"/>
        <v>#N/A</v>
      </c>
    </row>
    <row r="115" spans="1:10" x14ac:dyDescent="0.25">
      <c r="A115" s="1">
        <v>0.63678240740740744</v>
      </c>
      <c r="B115" s="2">
        <f t="shared" si="8"/>
        <v>109.00000000000425</v>
      </c>
      <c r="C115">
        <v>37.540700000000001</v>
      </c>
      <c r="D115" t="str">
        <f t="shared" si="9"/>
        <v/>
      </c>
      <c r="F115" t="e">
        <f t="shared" si="7"/>
        <v>#N/A</v>
      </c>
      <c r="I115">
        <v>36.176499999999997</v>
      </c>
      <c r="J115" s="2" t="e">
        <f t="shared" si="6"/>
        <v>#N/A</v>
      </c>
    </row>
    <row r="116" spans="1:10" x14ac:dyDescent="0.25">
      <c r="A116" s="1">
        <v>0.63679398148148147</v>
      </c>
      <c r="B116" s="2">
        <f t="shared" si="8"/>
        <v>110.00000000000121</v>
      </c>
      <c r="C116">
        <v>37.442100000000003</v>
      </c>
      <c r="D116" t="str">
        <f t="shared" si="9"/>
        <v/>
      </c>
      <c r="F116" t="e">
        <f t="shared" si="7"/>
        <v>#N/A</v>
      </c>
      <c r="I116">
        <v>36.176499999999997</v>
      </c>
      <c r="J116" s="2" t="e">
        <f t="shared" si="6"/>
        <v>#N/A</v>
      </c>
    </row>
    <row r="117" spans="1:10" x14ac:dyDescent="0.25">
      <c r="A117" s="1">
        <v>0.63680555555555551</v>
      </c>
      <c r="B117" s="2">
        <f t="shared" si="8"/>
        <v>110.99999999999817</v>
      </c>
      <c r="C117">
        <v>37.359499999999997</v>
      </c>
      <c r="D117" t="str">
        <f t="shared" si="9"/>
        <v/>
      </c>
      <c r="F117" t="e">
        <f t="shared" si="7"/>
        <v>#N/A</v>
      </c>
      <c r="I117">
        <v>36.176499999999997</v>
      </c>
      <c r="J117" s="2" t="e">
        <f t="shared" si="6"/>
        <v>#N/A</v>
      </c>
    </row>
    <row r="118" spans="1:10" x14ac:dyDescent="0.25">
      <c r="A118" s="1">
        <v>0.63681712962962966</v>
      </c>
      <c r="B118" s="2">
        <f t="shared" si="8"/>
        <v>112.00000000000472</v>
      </c>
      <c r="C118">
        <v>37.267499999999998</v>
      </c>
      <c r="D118" t="str">
        <f t="shared" si="9"/>
        <v/>
      </c>
      <c r="F118" t="e">
        <f t="shared" si="7"/>
        <v>#N/A</v>
      </c>
      <c r="I118">
        <v>36.176499999999997</v>
      </c>
      <c r="J118" s="2" t="e">
        <f t="shared" si="6"/>
        <v>#N/A</v>
      </c>
    </row>
    <row r="119" spans="1:10" x14ac:dyDescent="0.25">
      <c r="A119" s="1">
        <v>0.6368287037037037</v>
      </c>
      <c r="B119" s="2">
        <f t="shared" si="8"/>
        <v>113.00000000000168</v>
      </c>
      <c r="C119">
        <v>37.172499999999999</v>
      </c>
      <c r="D119" t="str">
        <f t="shared" si="9"/>
        <v/>
      </c>
      <c r="F119" t="e">
        <f t="shared" si="7"/>
        <v>#N/A</v>
      </c>
      <c r="I119">
        <v>36.176499999999997</v>
      </c>
      <c r="J119" s="2" t="e">
        <f t="shared" si="6"/>
        <v>#N/A</v>
      </c>
    </row>
    <row r="120" spans="1:10" x14ac:dyDescent="0.25">
      <c r="A120" s="1">
        <v>0.63684027777777774</v>
      </c>
      <c r="B120" s="2">
        <f t="shared" si="8"/>
        <v>113.99999999999864</v>
      </c>
      <c r="C120">
        <v>37.085700000000003</v>
      </c>
      <c r="D120" t="str">
        <f t="shared" si="9"/>
        <v/>
      </c>
      <c r="F120" t="e">
        <f t="shared" si="7"/>
        <v>#N/A</v>
      </c>
      <c r="I120">
        <v>36.176499999999997</v>
      </c>
      <c r="J120" s="2" t="e">
        <f t="shared" si="6"/>
        <v>#N/A</v>
      </c>
    </row>
    <row r="121" spans="1:10" x14ac:dyDescent="0.25">
      <c r="A121" s="1">
        <v>0.63685185185185189</v>
      </c>
      <c r="B121" s="2">
        <f t="shared" si="8"/>
        <v>115.00000000000519</v>
      </c>
      <c r="C121">
        <v>36.994300000000003</v>
      </c>
      <c r="D121" t="str">
        <f t="shared" si="9"/>
        <v/>
      </c>
      <c r="E121">
        <v>1</v>
      </c>
      <c r="F121">
        <f t="shared" si="7"/>
        <v>36.994300000000003</v>
      </c>
      <c r="I121">
        <v>36.176499999999997</v>
      </c>
      <c r="J121" s="2">
        <f t="shared" si="6"/>
        <v>36.176499999999997</v>
      </c>
    </row>
    <row r="122" spans="1:10" x14ac:dyDescent="0.25">
      <c r="A122" s="1">
        <v>0.63686342592592593</v>
      </c>
      <c r="B122" s="2">
        <f t="shared" si="8"/>
        <v>116.00000000000215</v>
      </c>
      <c r="C122">
        <v>36.897300000000001</v>
      </c>
      <c r="D122" t="str">
        <f t="shared" si="9"/>
        <v/>
      </c>
      <c r="F122" t="e">
        <f t="shared" si="7"/>
        <v>#N/A</v>
      </c>
      <c r="I122">
        <v>36.176499999999997</v>
      </c>
      <c r="J122" s="2" t="e">
        <f t="shared" si="6"/>
        <v>#N/A</v>
      </c>
    </row>
    <row r="123" spans="1:10" x14ac:dyDescent="0.25">
      <c r="A123" s="1">
        <v>0.63687499999999997</v>
      </c>
      <c r="B123" s="2">
        <f t="shared" si="8"/>
        <v>116.9999999999991</v>
      </c>
      <c r="C123">
        <v>36.814799999999998</v>
      </c>
      <c r="D123" t="str">
        <f t="shared" si="9"/>
        <v/>
      </c>
      <c r="F123" t="e">
        <f t="shared" si="7"/>
        <v>#N/A</v>
      </c>
      <c r="I123">
        <v>36.176499999999997</v>
      </c>
      <c r="J123" s="2" t="e">
        <f t="shared" si="6"/>
        <v>#N/A</v>
      </c>
    </row>
    <row r="124" spans="1:10" x14ac:dyDescent="0.25">
      <c r="A124" s="1">
        <v>0.63688657407407412</v>
      </c>
      <c r="B124" s="2">
        <f t="shared" si="8"/>
        <v>118.00000000000566</v>
      </c>
      <c r="C124">
        <v>36.728299999999997</v>
      </c>
      <c r="D124" t="str">
        <f t="shared" si="9"/>
        <v/>
      </c>
      <c r="F124" t="e">
        <f t="shared" si="7"/>
        <v>#N/A</v>
      </c>
      <c r="I124">
        <v>36.176499999999997</v>
      </c>
      <c r="J124" s="2" t="e">
        <f t="shared" si="6"/>
        <v>#N/A</v>
      </c>
    </row>
    <row r="125" spans="1:10" x14ac:dyDescent="0.25">
      <c r="A125" s="1">
        <v>0.63689814814814816</v>
      </c>
      <c r="B125" s="2">
        <f t="shared" si="8"/>
        <v>119.00000000000261</v>
      </c>
      <c r="C125">
        <v>36.6511</v>
      </c>
      <c r="D125" t="str">
        <f t="shared" si="9"/>
        <v/>
      </c>
      <c r="F125" t="e">
        <f t="shared" si="7"/>
        <v>#N/A</v>
      </c>
      <c r="I125">
        <v>36.176499999999997</v>
      </c>
      <c r="J125" s="2" t="e">
        <f t="shared" si="6"/>
        <v>#N/A</v>
      </c>
    </row>
    <row r="126" spans="1:10" x14ac:dyDescent="0.25">
      <c r="A126" s="1">
        <v>0.6369097222222222</v>
      </c>
      <c r="B126" s="2">
        <f t="shared" si="8"/>
        <v>119.99999999999957</v>
      </c>
      <c r="C126">
        <v>36.563000000000002</v>
      </c>
      <c r="D126" t="str">
        <f t="shared" si="9"/>
        <v/>
      </c>
      <c r="F126" t="e">
        <f t="shared" si="7"/>
        <v>#N/A</v>
      </c>
      <c r="I126">
        <v>36.176499999999997</v>
      </c>
      <c r="J126" s="2" t="e">
        <f t="shared" si="6"/>
        <v>#N/A</v>
      </c>
    </row>
    <row r="127" spans="1:10" x14ac:dyDescent="0.25">
      <c r="A127" s="1">
        <v>0.63692129629629635</v>
      </c>
      <c r="B127" s="2">
        <f t="shared" si="8"/>
        <v>121.00000000000612</v>
      </c>
      <c r="C127">
        <v>36.474899999999998</v>
      </c>
      <c r="D127" t="str">
        <f t="shared" si="9"/>
        <v/>
      </c>
      <c r="F127" t="e">
        <f t="shared" si="7"/>
        <v>#N/A</v>
      </c>
      <c r="I127">
        <v>36.176499999999997</v>
      </c>
      <c r="J127" s="2" t="e">
        <f t="shared" si="6"/>
        <v>#N/A</v>
      </c>
    </row>
    <row r="128" spans="1:10" x14ac:dyDescent="0.25">
      <c r="A128" s="1">
        <v>0.63693287037037039</v>
      </c>
      <c r="B128" s="2">
        <f t="shared" si="8"/>
        <v>122.00000000000308</v>
      </c>
      <c r="C128">
        <v>36.386099999999999</v>
      </c>
      <c r="D128" t="str">
        <f t="shared" si="9"/>
        <v/>
      </c>
      <c r="F128" t="e">
        <f t="shared" si="7"/>
        <v>#N/A</v>
      </c>
      <c r="I128">
        <v>36.176499999999997</v>
      </c>
      <c r="J128" s="2" t="e">
        <f t="shared" si="6"/>
        <v>#N/A</v>
      </c>
    </row>
    <row r="129" spans="1:10" x14ac:dyDescent="0.25">
      <c r="A129" s="1">
        <v>0.63694444444444442</v>
      </c>
      <c r="B129" s="2">
        <f t="shared" si="8"/>
        <v>123.00000000000004</v>
      </c>
      <c r="C129">
        <v>36.301900000000003</v>
      </c>
      <c r="D129" t="str">
        <f t="shared" si="9"/>
        <v/>
      </c>
      <c r="F129" t="e">
        <f t="shared" si="7"/>
        <v>#N/A</v>
      </c>
      <c r="I129">
        <v>36.176499999999997</v>
      </c>
      <c r="J129" s="2" t="e">
        <f t="shared" si="6"/>
        <v>#N/A</v>
      </c>
    </row>
    <row r="130" spans="1:10" x14ac:dyDescent="0.25">
      <c r="A130" s="1">
        <v>0.63695601851851846</v>
      </c>
      <c r="B130" s="2">
        <f t="shared" si="8"/>
        <v>123.999999999997</v>
      </c>
      <c r="C130">
        <v>36.210500000000003</v>
      </c>
      <c r="D130" t="str">
        <f t="shared" si="9"/>
        <v/>
      </c>
      <c r="F130" t="e">
        <f t="shared" si="7"/>
        <v>#N/A</v>
      </c>
      <c r="I130">
        <v>36.176499999999997</v>
      </c>
      <c r="J130" s="2" t="e">
        <f t="shared" si="6"/>
        <v>#N/A</v>
      </c>
    </row>
    <row r="131" spans="1:10" x14ac:dyDescent="0.25">
      <c r="A131" s="1">
        <v>0.63696759259259261</v>
      </c>
      <c r="B131" s="2">
        <f t="shared" si="8"/>
        <v>125.00000000000355</v>
      </c>
      <c r="C131">
        <v>36.1297</v>
      </c>
      <c r="D131" t="str">
        <f t="shared" si="9"/>
        <v/>
      </c>
      <c r="F131" t="e">
        <f t="shared" si="7"/>
        <v>#N/A</v>
      </c>
      <c r="I131">
        <v>36.176499999999997</v>
      </c>
      <c r="J131" s="2" t="e">
        <f>IF(E131=1,I131,NA())</f>
        <v>#N/A</v>
      </c>
    </row>
    <row r="132" spans="1:10" x14ac:dyDescent="0.25">
      <c r="A132" s="1">
        <v>0.63697916666666665</v>
      </c>
      <c r="B132" s="2">
        <f t="shared" si="8"/>
        <v>126.00000000000051</v>
      </c>
      <c r="C132">
        <v>36.066499999999998</v>
      </c>
      <c r="D132" t="str">
        <f t="shared" si="9"/>
        <v>BOTTOM</v>
      </c>
      <c r="E132">
        <v>1</v>
      </c>
      <c r="F132">
        <f t="shared" si="7"/>
        <v>36.066499999999998</v>
      </c>
      <c r="I132">
        <v>36.176499999999997</v>
      </c>
      <c r="J132" s="2">
        <f t="shared" si="6"/>
        <v>36.176499999999997</v>
      </c>
    </row>
    <row r="133" spans="1:10" x14ac:dyDescent="0.25">
      <c r="A133" s="1">
        <v>0.63699074074074069</v>
      </c>
      <c r="B133" s="2">
        <f t="shared" si="8"/>
        <v>126.99999999999747</v>
      </c>
      <c r="C133">
        <v>36.169800000000002</v>
      </c>
      <c r="D133" t="str">
        <f t="shared" si="9"/>
        <v/>
      </c>
      <c r="F133" t="e">
        <f t="shared" si="7"/>
        <v>#N/A</v>
      </c>
      <c r="I133">
        <v>36.176499999999997</v>
      </c>
      <c r="J133" s="2" t="e">
        <f t="shared" si="6"/>
        <v>#N/A</v>
      </c>
    </row>
    <row r="134" spans="1:10" x14ac:dyDescent="0.25">
      <c r="A134" s="1">
        <v>0.63700231481481484</v>
      </c>
      <c r="B134" s="2">
        <f t="shared" si="8"/>
        <v>128.00000000000404</v>
      </c>
      <c r="C134">
        <v>36.604999999999997</v>
      </c>
      <c r="D134" t="str">
        <f t="shared" si="9"/>
        <v/>
      </c>
      <c r="E134">
        <v>1</v>
      </c>
      <c r="F134">
        <f t="shared" ref="F134:F197" si="10">IF(E134=1,C134,NA())</f>
        <v>36.604999999999997</v>
      </c>
      <c r="I134">
        <v>36.176499999999997</v>
      </c>
      <c r="J134" s="2">
        <f t="shared" ref="J134:J197" si="11">IF(E134=1,I134,NA())</f>
        <v>36.176499999999997</v>
      </c>
    </row>
    <row r="135" spans="1:10" x14ac:dyDescent="0.25">
      <c r="A135" s="1">
        <v>0.63701388888888888</v>
      </c>
      <c r="B135" s="2">
        <f t="shared" ref="B135:B198" si="12">(A135-$A$6)*86400</f>
        <v>129.00000000000097</v>
      </c>
      <c r="C135">
        <v>37.342799999999997</v>
      </c>
      <c r="D135" t="str">
        <f t="shared" si="9"/>
        <v/>
      </c>
      <c r="F135" t="e">
        <f t="shared" si="10"/>
        <v>#N/A</v>
      </c>
      <c r="I135">
        <v>36.176499999999997</v>
      </c>
      <c r="J135" s="2" t="e">
        <f t="shared" si="11"/>
        <v>#N/A</v>
      </c>
    </row>
    <row r="136" spans="1:10" x14ac:dyDescent="0.25">
      <c r="A136" s="1">
        <v>0.63702546296296292</v>
      </c>
      <c r="B136" s="2">
        <f t="shared" si="12"/>
        <v>129.99999999999795</v>
      </c>
      <c r="C136">
        <v>38.189</v>
      </c>
      <c r="D136" t="str">
        <f t="shared" si="9"/>
        <v/>
      </c>
      <c r="E136">
        <v>1</v>
      </c>
      <c r="F136">
        <f t="shared" si="10"/>
        <v>38.189</v>
      </c>
      <c r="I136">
        <v>36.176499999999997</v>
      </c>
      <c r="J136" s="2">
        <f t="shared" si="11"/>
        <v>36.176499999999997</v>
      </c>
    </row>
    <row r="137" spans="1:10" x14ac:dyDescent="0.25">
      <c r="A137" s="1">
        <v>0.63703703703703707</v>
      </c>
      <c r="B137" s="2">
        <f t="shared" si="12"/>
        <v>131.00000000000449</v>
      </c>
      <c r="C137">
        <v>38.935299999999998</v>
      </c>
      <c r="D137" t="str">
        <f t="shared" si="9"/>
        <v/>
      </c>
      <c r="F137" t="e">
        <f t="shared" si="10"/>
        <v>#N/A</v>
      </c>
      <c r="I137">
        <v>36.176499999999997</v>
      </c>
      <c r="J137" s="2" t="e">
        <f t="shared" si="11"/>
        <v>#N/A</v>
      </c>
    </row>
    <row r="138" spans="1:10" x14ac:dyDescent="0.25">
      <c r="A138" s="1">
        <v>0.63704861111111111</v>
      </c>
      <c r="B138" s="2">
        <f t="shared" si="12"/>
        <v>132.00000000000145</v>
      </c>
      <c r="C138">
        <v>39.542200000000001</v>
      </c>
      <c r="D138" t="str">
        <f t="shared" si="9"/>
        <v/>
      </c>
      <c r="F138" t="e">
        <f t="shared" si="10"/>
        <v>#N/A</v>
      </c>
      <c r="I138">
        <v>36.176499999999997</v>
      </c>
      <c r="J138" s="2" t="e">
        <f t="shared" si="11"/>
        <v>#N/A</v>
      </c>
    </row>
    <row r="139" spans="1:10" x14ac:dyDescent="0.25">
      <c r="A139" s="1">
        <v>0.63706018518518515</v>
      </c>
      <c r="B139" s="2">
        <f t="shared" si="12"/>
        <v>132.99999999999841</v>
      </c>
      <c r="C139">
        <v>40.042499999999997</v>
      </c>
      <c r="D139" t="str">
        <f t="shared" si="9"/>
        <v/>
      </c>
      <c r="E139">
        <v>1</v>
      </c>
      <c r="F139">
        <f t="shared" si="10"/>
        <v>40.042499999999997</v>
      </c>
      <c r="I139">
        <v>36.176499999999997</v>
      </c>
      <c r="J139" s="2">
        <f t="shared" si="11"/>
        <v>36.176499999999997</v>
      </c>
    </row>
    <row r="140" spans="1:10" x14ac:dyDescent="0.25">
      <c r="A140" s="1">
        <v>0.6370717592592593</v>
      </c>
      <c r="B140" s="2">
        <f t="shared" si="12"/>
        <v>134.00000000000495</v>
      </c>
      <c r="C140">
        <v>40.44</v>
      </c>
      <c r="D140" t="str">
        <f t="shared" si="9"/>
        <v/>
      </c>
      <c r="F140" t="e">
        <f t="shared" si="10"/>
        <v>#N/A</v>
      </c>
      <c r="I140">
        <v>36.176499999999997</v>
      </c>
      <c r="J140" s="2" t="e">
        <f t="shared" si="11"/>
        <v>#N/A</v>
      </c>
    </row>
    <row r="141" spans="1:10" x14ac:dyDescent="0.25">
      <c r="A141" s="1">
        <v>0.63708333333333333</v>
      </c>
      <c r="B141" s="2">
        <f t="shared" si="12"/>
        <v>135.00000000000193</v>
      </c>
      <c r="C141">
        <v>40.7517</v>
      </c>
      <c r="D141" t="str">
        <f t="shared" si="9"/>
        <v/>
      </c>
      <c r="F141" t="e">
        <f t="shared" si="10"/>
        <v>#N/A</v>
      </c>
      <c r="I141">
        <v>36.176499999999997</v>
      </c>
      <c r="J141" s="2" t="e">
        <f t="shared" si="11"/>
        <v>#N/A</v>
      </c>
    </row>
    <row r="142" spans="1:10" x14ac:dyDescent="0.25">
      <c r="A142" s="1">
        <v>0.63709490740740737</v>
      </c>
      <c r="B142" s="2">
        <f t="shared" si="12"/>
        <v>135.99999999999886</v>
      </c>
      <c r="C142">
        <v>40.992699999999999</v>
      </c>
      <c r="D142" t="str">
        <f t="shared" si="9"/>
        <v/>
      </c>
      <c r="E142">
        <v>1</v>
      </c>
      <c r="F142">
        <f t="shared" si="10"/>
        <v>40.992699999999999</v>
      </c>
      <c r="I142">
        <v>36.176499999999997</v>
      </c>
      <c r="J142" s="2">
        <f t="shared" si="11"/>
        <v>36.176499999999997</v>
      </c>
    </row>
    <row r="143" spans="1:10" x14ac:dyDescent="0.25">
      <c r="A143" s="1">
        <v>0.63710648148148152</v>
      </c>
      <c r="B143" s="2">
        <f t="shared" si="12"/>
        <v>137.00000000000543</v>
      </c>
      <c r="C143">
        <v>41.172199999999997</v>
      </c>
      <c r="D143" t="str">
        <f t="shared" si="9"/>
        <v/>
      </c>
      <c r="F143" t="e">
        <f t="shared" si="10"/>
        <v>#N/A</v>
      </c>
      <c r="I143">
        <v>36.176499999999997</v>
      </c>
      <c r="J143" s="2" t="e">
        <f t="shared" si="11"/>
        <v>#N/A</v>
      </c>
    </row>
    <row r="144" spans="1:10" x14ac:dyDescent="0.25">
      <c r="A144" s="1">
        <v>0.63711805555555556</v>
      </c>
      <c r="B144" s="2">
        <f t="shared" si="12"/>
        <v>138.00000000000239</v>
      </c>
      <c r="C144">
        <v>41.307299999999998</v>
      </c>
      <c r="D144" t="str">
        <f t="shared" si="9"/>
        <v/>
      </c>
      <c r="F144" t="e">
        <f t="shared" si="10"/>
        <v>#N/A</v>
      </c>
      <c r="I144">
        <v>36.176499999999997</v>
      </c>
      <c r="J144" s="2" t="e">
        <f t="shared" si="11"/>
        <v>#N/A</v>
      </c>
    </row>
    <row r="145" spans="1:10" x14ac:dyDescent="0.25">
      <c r="A145" s="1">
        <v>0.6371296296296296</v>
      </c>
      <c r="B145" s="2">
        <f t="shared" si="12"/>
        <v>138.99999999999935</v>
      </c>
      <c r="C145">
        <v>41.409500000000001</v>
      </c>
      <c r="D145" t="str">
        <f t="shared" si="9"/>
        <v/>
      </c>
      <c r="F145" t="e">
        <f t="shared" si="10"/>
        <v>#N/A</v>
      </c>
      <c r="I145">
        <v>36.176499999999997</v>
      </c>
      <c r="J145" s="2" t="e">
        <f t="shared" si="11"/>
        <v>#N/A</v>
      </c>
    </row>
    <row r="146" spans="1:10" x14ac:dyDescent="0.25">
      <c r="A146" s="1">
        <v>0.63714120370370375</v>
      </c>
      <c r="B146" s="2">
        <f t="shared" si="12"/>
        <v>140.00000000000591</v>
      </c>
      <c r="C146">
        <v>41.481900000000003</v>
      </c>
      <c r="D146" t="str">
        <f t="shared" si="9"/>
        <v/>
      </c>
      <c r="F146" t="e">
        <f t="shared" si="10"/>
        <v>#N/A</v>
      </c>
      <c r="I146">
        <v>36.176499999999997</v>
      </c>
      <c r="J146" s="2" t="e">
        <f t="shared" si="11"/>
        <v>#N/A</v>
      </c>
    </row>
    <row r="147" spans="1:10" x14ac:dyDescent="0.25">
      <c r="A147" s="1">
        <v>0.63715277777777779</v>
      </c>
      <c r="B147" s="2">
        <f t="shared" si="12"/>
        <v>141.00000000000284</v>
      </c>
      <c r="C147">
        <v>41.514400000000002</v>
      </c>
      <c r="D147" t="str">
        <f t="shared" si="9"/>
        <v/>
      </c>
      <c r="F147" t="e">
        <f t="shared" si="10"/>
        <v>#N/A</v>
      </c>
      <c r="I147">
        <v>36.176499999999997</v>
      </c>
      <c r="J147" s="2" t="e">
        <f t="shared" si="11"/>
        <v>#N/A</v>
      </c>
    </row>
    <row r="148" spans="1:10" x14ac:dyDescent="0.25">
      <c r="A148" s="1">
        <v>0.63716435185185183</v>
      </c>
      <c r="B148" s="2">
        <f t="shared" si="12"/>
        <v>141.99999999999983</v>
      </c>
      <c r="C148">
        <v>41.524900000000002</v>
      </c>
      <c r="D148" t="str">
        <f t="shared" si="9"/>
        <v>PEAK</v>
      </c>
      <c r="E148">
        <v>1</v>
      </c>
      <c r="F148">
        <f t="shared" si="10"/>
        <v>41.524900000000002</v>
      </c>
      <c r="I148">
        <v>36.176499999999997</v>
      </c>
      <c r="J148" s="2">
        <f t="shared" si="11"/>
        <v>36.176499999999997</v>
      </c>
    </row>
    <row r="149" spans="1:10" x14ac:dyDescent="0.25">
      <c r="A149" s="1">
        <v>0.63717592592592598</v>
      </c>
      <c r="B149" s="2">
        <f t="shared" si="12"/>
        <v>143.00000000000637</v>
      </c>
      <c r="C149">
        <v>41.513399999999997</v>
      </c>
      <c r="D149" t="str">
        <f t="shared" si="9"/>
        <v/>
      </c>
      <c r="F149" t="e">
        <f t="shared" si="10"/>
        <v>#N/A</v>
      </c>
      <c r="I149">
        <v>36.176499999999997</v>
      </c>
      <c r="J149" s="2" t="e">
        <f t="shared" si="11"/>
        <v>#N/A</v>
      </c>
    </row>
    <row r="150" spans="1:10" x14ac:dyDescent="0.25">
      <c r="A150" s="1">
        <v>0.63718750000000002</v>
      </c>
      <c r="B150" s="2">
        <f t="shared" si="12"/>
        <v>144.00000000000333</v>
      </c>
      <c r="C150">
        <v>41.478900000000003</v>
      </c>
      <c r="D150" t="str">
        <f t="shared" si="9"/>
        <v/>
      </c>
      <c r="F150" t="e">
        <f t="shared" si="10"/>
        <v>#N/A</v>
      </c>
      <c r="I150">
        <v>36.176499999999997</v>
      </c>
      <c r="J150" s="2" t="e">
        <f t="shared" si="11"/>
        <v>#N/A</v>
      </c>
    </row>
    <row r="151" spans="1:10" x14ac:dyDescent="0.25">
      <c r="A151" s="1">
        <v>0.63719907407407406</v>
      </c>
      <c r="B151" s="2">
        <f t="shared" si="12"/>
        <v>145.00000000000028</v>
      </c>
      <c r="C151">
        <v>41.423299999999998</v>
      </c>
      <c r="D151" t="str">
        <f t="shared" si="9"/>
        <v/>
      </c>
      <c r="F151" t="e">
        <f t="shared" si="10"/>
        <v>#N/A</v>
      </c>
      <c r="I151">
        <v>36.176499999999997</v>
      </c>
      <c r="J151" s="2" t="e">
        <f t="shared" si="11"/>
        <v>#N/A</v>
      </c>
    </row>
    <row r="152" spans="1:10" x14ac:dyDescent="0.25">
      <c r="A152" s="1">
        <v>0.6372106481481481</v>
      </c>
      <c r="B152" s="2">
        <f t="shared" si="12"/>
        <v>145.99999999999724</v>
      </c>
      <c r="C152">
        <v>41.356299999999997</v>
      </c>
      <c r="D152" t="str">
        <f t="shared" si="9"/>
        <v/>
      </c>
      <c r="F152" t="e">
        <f t="shared" si="10"/>
        <v>#N/A</v>
      </c>
      <c r="I152">
        <v>36.176499999999997</v>
      </c>
      <c r="J152" s="2" t="e">
        <f t="shared" si="11"/>
        <v>#N/A</v>
      </c>
    </row>
    <row r="153" spans="1:10" x14ac:dyDescent="0.25">
      <c r="A153" s="1">
        <v>0.63722222222222225</v>
      </c>
      <c r="B153" s="2">
        <f t="shared" si="12"/>
        <v>147.00000000000381</v>
      </c>
      <c r="C153">
        <v>41.284599999999998</v>
      </c>
      <c r="D153" t="str">
        <f t="shared" si="9"/>
        <v/>
      </c>
      <c r="F153" t="e">
        <f t="shared" si="10"/>
        <v>#N/A</v>
      </c>
      <c r="I153">
        <v>36.176499999999997</v>
      </c>
      <c r="J153" s="2" t="e">
        <f t="shared" si="11"/>
        <v>#N/A</v>
      </c>
    </row>
    <row r="154" spans="1:10" x14ac:dyDescent="0.25">
      <c r="A154" s="1">
        <v>0.63723379629629628</v>
      </c>
      <c r="B154" s="2">
        <f t="shared" si="12"/>
        <v>148.00000000000074</v>
      </c>
      <c r="C154">
        <v>41.207299999999996</v>
      </c>
      <c r="D154" t="str">
        <f t="shared" si="9"/>
        <v/>
      </c>
      <c r="F154" t="e">
        <f t="shared" si="10"/>
        <v>#N/A</v>
      </c>
      <c r="I154">
        <v>36.176499999999997</v>
      </c>
      <c r="J154" s="2" t="e">
        <f t="shared" si="11"/>
        <v>#N/A</v>
      </c>
    </row>
    <row r="155" spans="1:10" x14ac:dyDescent="0.25">
      <c r="A155" s="1">
        <v>0.63724537037037032</v>
      </c>
      <c r="B155" s="2">
        <f t="shared" si="12"/>
        <v>148.99999999999773</v>
      </c>
      <c r="C155">
        <v>41.121899999999997</v>
      </c>
      <c r="D155" t="str">
        <f t="shared" si="9"/>
        <v/>
      </c>
      <c r="F155" t="e">
        <f t="shared" si="10"/>
        <v>#N/A</v>
      </c>
      <c r="I155">
        <v>36.176499999999997</v>
      </c>
      <c r="J155" s="2" t="e">
        <f t="shared" si="11"/>
        <v>#N/A</v>
      </c>
    </row>
    <row r="156" spans="1:10" x14ac:dyDescent="0.25">
      <c r="A156" s="1">
        <v>0.63725694444444447</v>
      </c>
      <c r="B156" s="2">
        <f t="shared" si="12"/>
        <v>150.00000000000426</v>
      </c>
      <c r="C156">
        <v>41.029200000000003</v>
      </c>
      <c r="D156" t="str">
        <f t="shared" si="9"/>
        <v/>
      </c>
      <c r="E156">
        <v>1</v>
      </c>
      <c r="F156">
        <f t="shared" si="10"/>
        <v>41.029200000000003</v>
      </c>
      <c r="I156">
        <v>36.176499999999997</v>
      </c>
      <c r="J156" s="2">
        <f t="shared" si="11"/>
        <v>36.176499999999997</v>
      </c>
    </row>
    <row r="157" spans="1:10" x14ac:dyDescent="0.25">
      <c r="A157" s="1">
        <v>0.63726851851851851</v>
      </c>
      <c r="B157" s="2">
        <f t="shared" si="12"/>
        <v>151.00000000000122</v>
      </c>
      <c r="C157">
        <v>40.930500000000002</v>
      </c>
      <c r="D157" t="str">
        <f t="shared" si="9"/>
        <v/>
      </c>
      <c r="F157" t="e">
        <f t="shared" si="10"/>
        <v>#N/A</v>
      </c>
      <c r="I157">
        <v>36.176499999999997</v>
      </c>
      <c r="J157" s="2" t="e">
        <f t="shared" si="11"/>
        <v>#N/A</v>
      </c>
    </row>
    <row r="158" spans="1:10" x14ac:dyDescent="0.25">
      <c r="A158" s="1">
        <v>0.63728009259259255</v>
      </c>
      <c r="B158" s="2">
        <f t="shared" si="12"/>
        <v>151.99999999999818</v>
      </c>
      <c r="C158">
        <v>40.820700000000002</v>
      </c>
      <c r="D158" t="str">
        <f t="shared" ref="D158:D221" si="13">IF(AND(C158&gt;C157,C158&gt;C159),"PEAK",
 IF(AND(C158&lt;C157,C158&lt;C159),"BOTTOM",""))</f>
        <v/>
      </c>
      <c r="F158" t="e">
        <f t="shared" si="10"/>
        <v>#N/A</v>
      </c>
      <c r="I158">
        <v>36.176499999999997</v>
      </c>
      <c r="J158" s="2" t="e">
        <f t="shared" si="11"/>
        <v>#N/A</v>
      </c>
    </row>
    <row r="159" spans="1:10" x14ac:dyDescent="0.25">
      <c r="A159" s="1">
        <v>0.6372916666666667</v>
      </c>
      <c r="B159" s="2">
        <f t="shared" si="12"/>
        <v>153.00000000000472</v>
      </c>
      <c r="C159">
        <v>40.716799999999999</v>
      </c>
      <c r="D159" t="str">
        <f t="shared" si="13"/>
        <v/>
      </c>
      <c r="F159" t="e">
        <f t="shared" si="10"/>
        <v>#N/A</v>
      </c>
      <c r="I159">
        <v>36.176499999999997</v>
      </c>
      <c r="J159" s="2" t="e">
        <f t="shared" si="11"/>
        <v>#N/A</v>
      </c>
    </row>
    <row r="160" spans="1:10" x14ac:dyDescent="0.25">
      <c r="A160" s="1">
        <v>0.63730324074074074</v>
      </c>
      <c r="B160" s="2">
        <f t="shared" si="12"/>
        <v>154.00000000000171</v>
      </c>
      <c r="C160">
        <v>40.612299999999998</v>
      </c>
      <c r="D160" t="str">
        <f t="shared" si="13"/>
        <v/>
      </c>
      <c r="F160" t="e">
        <f t="shared" si="10"/>
        <v>#N/A</v>
      </c>
      <c r="I160">
        <v>36.176499999999997</v>
      </c>
      <c r="J160" s="2" t="e">
        <f t="shared" si="11"/>
        <v>#N/A</v>
      </c>
    </row>
    <row r="161" spans="1:10" x14ac:dyDescent="0.25">
      <c r="A161" s="1">
        <v>0.63731481481481478</v>
      </c>
      <c r="B161" s="2">
        <f t="shared" si="12"/>
        <v>154.99999999999864</v>
      </c>
      <c r="C161">
        <v>40.509700000000002</v>
      </c>
      <c r="D161" t="str">
        <f t="shared" si="13"/>
        <v/>
      </c>
      <c r="F161" t="e">
        <f t="shared" si="10"/>
        <v>#N/A</v>
      </c>
      <c r="I161">
        <v>36.176499999999997</v>
      </c>
      <c r="J161" s="2" t="e">
        <f t="shared" si="11"/>
        <v>#N/A</v>
      </c>
    </row>
    <row r="162" spans="1:10" x14ac:dyDescent="0.25">
      <c r="A162" s="1">
        <v>0.63732638888888893</v>
      </c>
      <c r="B162" s="2">
        <f t="shared" si="12"/>
        <v>156.0000000000052</v>
      </c>
      <c r="C162">
        <v>40.412399999999998</v>
      </c>
      <c r="D162" t="str">
        <f t="shared" si="13"/>
        <v/>
      </c>
      <c r="F162" t="e">
        <f t="shared" si="10"/>
        <v>#N/A</v>
      </c>
      <c r="I162">
        <v>36.176499999999997</v>
      </c>
      <c r="J162" s="2" t="e">
        <f t="shared" si="11"/>
        <v>#N/A</v>
      </c>
    </row>
    <row r="163" spans="1:10" x14ac:dyDescent="0.25">
      <c r="A163" s="1">
        <v>0.63733796296296297</v>
      </c>
      <c r="B163" s="2">
        <f t="shared" si="12"/>
        <v>157.00000000000216</v>
      </c>
      <c r="C163">
        <v>40.299999999999997</v>
      </c>
      <c r="D163" t="str">
        <f t="shared" si="13"/>
        <v/>
      </c>
      <c r="F163" t="e">
        <f t="shared" si="10"/>
        <v>#N/A</v>
      </c>
      <c r="I163">
        <v>36.176499999999997</v>
      </c>
      <c r="J163" s="2" t="e">
        <f t="shared" si="11"/>
        <v>#N/A</v>
      </c>
    </row>
    <row r="164" spans="1:10" x14ac:dyDescent="0.25">
      <c r="A164" s="1">
        <v>0.63734953703703701</v>
      </c>
      <c r="B164" s="2">
        <f t="shared" si="12"/>
        <v>157.99999999999912</v>
      </c>
      <c r="C164">
        <v>40.185200000000002</v>
      </c>
      <c r="D164" t="str">
        <f t="shared" si="13"/>
        <v/>
      </c>
      <c r="F164" t="e">
        <f t="shared" si="10"/>
        <v>#N/A</v>
      </c>
      <c r="I164">
        <v>36.176499999999997</v>
      </c>
      <c r="J164" s="2" t="e">
        <f t="shared" si="11"/>
        <v>#N/A</v>
      </c>
    </row>
    <row r="165" spans="1:10" x14ac:dyDescent="0.25">
      <c r="A165" s="1">
        <v>0.63736111111111116</v>
      </c>
      <c r="B165" s="2">
        <f t="shared" si="12"/>
        <v>159.00000000000568</v>
      </c>
      <c r="C165">
        <v>40.0672</v>
      </c>
      <c r="D165" t="str">
        <f t="shared" si="13"/>
        <v/>
      </c>
      <c r="F165" t="e">
        <f t="shared" si="10"/>
        <v>#N/A</v>
      </c>
      <c r="I165">
        <v>36.176499999999997</v>
      </c>
      <c r="J165" s="2" t="e">
        <f t="shared" si="11"/>
        <v>#N/A</v>
      </c>
    </row>
    <row r="166" spans="1:10" x14ac:dyDescent="0.25">
      <c r="A166" s="1">
        <v>0.63737268518518519</v>
      </c>
      <c r="B166" s="2">
        <f t="shared" si="12"/>
        <v>160.00000000000261</v>
      </c>
      <c r="C166">
        <v>39.978099999999998</v>
      </c>
      <c r="D166" t="str">
        <f t="shared" si="13"/>
        <v/>
      </c>
      <c r="E166">
        <v>1</v>
      </c>
      <c r="F166">
        <f t="shared" si="10"/>
        <v>39.978099999999998</v>
      </c>
      <c r="I166">
        <v>36.176499999999997</v>
      </c>
      <c r="J166" s="2">
        <f t="shared" si="11"/>
        <v>36.176499999999997</v>
      </c>
    </row>
    <row r="167" spans="1:10" x14ac:dyDescent="0.25">
      <c r="A167" s="1">
        <v>0.63738425925925923</v>
      </c>
      <c r="B167" s="2">
        <f t="shared" si="12"/>
        <v>160.9999999999996</v>
      </c>
      <c r="C167">
        <v>39.863999999999997</v>
      </c>
      <c r="D167" t="str">
        <f t="shared" si="13"/>
        <v/>
      </c>
      <c r="F167" t="e">
        <f t="shared" si="10"/>
        <v>#N/A</v>
      </c>
      <c r="I167">
        <v>36.176499999999997</v>
      </c>
      <c r="J167" s="2" t="e">
        <f t="shared" si="11"/>
        <v>#N/A</v>
      </c>
    </row>
    <row r="168" spans="1:10" x14ac:dyDescent="0.25">
      <c r="A168" s="1">
        <v>0.63739583333333338</v>
      </c>
      <c r="B168" s="2">
        <f t="shared" si="12"/>
        <v>162.00000000000614</v>
      </c>
      <c r="C168">
        <v>39.751300000000001</v>
      </c>
      <c r="D168" t="str">
        <f t="shared" si="13"/>
        <v/>
      </c>
      <c r="F168" t="e">
        <f t="shared" si="10"/>
        <v>#N/A</v>
      </c>
      <c r="I168">
        <v>36.176499999999997</v>
      </c>
      <c r="J168" s="2" t="e">
        <f t="shared" si="11"/>
        <v>#N/A</v>
      </c>
    </row>
    <row r="169" spans="1:10" x14ac:dyDescent="0.25">
      <c r="A169" s="1">
        <v>0.63740740740740742</v>
      </c>
      <c r="B169" s="2">
        <f t="shared" si="12"/>
        <v>163.0000000000031</v>
      </c>
      <c r="C169">
        <v>39.616799999999998</v>
      </c>
      <c r="D169" t="str">
        <f t="shared" si="13"/>
        <v/>
      </c>
      <c r="F169" t="e">
        <f t="shared" si="10"/>
        <v>#N/A</v>
      </c>
      <c r="I169">
        <v>36.176499999999997</v>
      </c>
      <c r="J169" s="2" t="e">
        <f t="shared" si="11"/>
        <v>#N/A</v>
      </c>
    </row>
    <row r="170" spans="1:10" x14ac:dyDescent="0.25">
      <c r="A170" s="1">
        <v>0.63741898148148146</v>
      </c>
      <c r="B170" s="2">
        <f t="shared" si="12"/>
        <v>164.00000000000006</v>
      </c>
      <c r="C170">
        <v>39.4955</v>
      </c>
      <c r="D170" t="str">
        <f t="shared" si="13"/>
        <v/>
      </c>
      <c r="F170" t="e">
        <f t="shared" si="10"/>
        <v>#N/A</v>
      </c>
      <c r="I170">
        <v>36.176499999999997</v>
      </c>
      <c r="J170" s="2" t="e">
        <f t="shared" si="11"/>
        <v>#N/A</v>
      </c>
    </row>
    <row r="171" spans="1:10" x14ac:dyDescent="0.25">
      <c r="A171" s="1">
        <v>0.6374305555555555</v>
      </c>
      <c r="B171" s="2">
        <f t="shared" si="12"/>
        <v>164.99999999999702</v>
      </c>
      <c r="C171">
        <v>39.395899999999997</v>
      </c>
      <c r="D171" t="str">
        <f t="shared" si="13"/>
        <v/>
      </c>
      <c r="F171" t="e">
        <f t="shared" si="10"/>
        <v>#N/A</v>
      </c>
      <c r="I171">
        <v>36.176499999999997</v>
      </c>
      <c r="J171" s="2" t="e">
        <f t="shared" si="11"/>
        <v>#N/A</v>
      </c>
    </row>
    <row r="172" spans="1:10" x14ac:dyDescent="0.25">
      <c r="A172" s="1">
        <v>0.63744212962962965</v>
      </c>
      <c r="B172" s="2">
        <f t="shared" si="12"/>
        <v>166.00000000000358</v>
      </c>
      <c r="C172">
        <v>39.288699999999999</v>
      </c>
      <c r="D172" t="str">
        <f t="shared" si="13"/>
        <v/>
      </c>
      <c r="F172" t="e">
        <f t="shared" si="10"/>
        <v>#N/A</v>
      </c>
      <c r="I172">
        <v>36.176499999999997</v>
      </c>
      <c r="J172" s="2" t="e">
        <f t="shared" si="11"/>
        <v>#N/A</v>
      </c>
    </row>
    <row r="173" spans="1:10" x14ac:dyDescent="0.25">
      <c r="A173" s="1">
        <v>0.63745370370370369</v>
      </c>
      <c r="B173" s="2">
        <f t="shared" si="12"/>
        <v>167.00000000000051</v>
      </c>
      <c r="C173">
        <v>39.175899999999999</v>
      </c>
      <c r="D173" t="str">
        <f t="shared" si="13"/>
        <v/>
      </c>
      <c r="F173" t="e">
        <f t="shared" si="10"/>
        <v>#N/A</v>
      </c>
      <c r="I173">
        <v>36.176499999999997</v>
      </c>
      <c r="J173" s="2" t="e">
        <f t="shared" si="11"/>
        <v>#N/A</v>
      </c>
    </row>
    <row r="174" spans="1:10" x14ac:dyDescent="0.25">
      <c r="A174" s="1">
        <v>0.63746527777777773</v>
      </c>
      <c r="B174" s="2">
        <f t="shared" si="12"/>
        <v>167.9999999999975</v>
      </c>
      <c r="C174">
        <v>39.084499999999998</v>
      </c>
      <c r="D174" t="str">
        <f t="shared" si="13"/>
        <v/>
      </c>
      <c r="F174" t="e">
        <f t="shared" si="10"/>
        <v>#N/A</v>
      </c>
      <c r="I174">
        <v>36.176499999999997</v>
      </c>
      <c r="J174" s="2" t="e">
        <f t="shared" si="11"/>
        <v>#N/A</v>
      </c>
    </row>
    <row r="175" spans="1:10" x14ac:dyDescent="0.25">
      <c r="A175" s="1">
        <v>0.63747685185185188</v>
      </c>
      <c r="B175" s="2">
        <f t="shared" si="12"/>
        <v>169.00000000000404</v>
      </c>
      <c r="C175">
        <v>38.948799999999999</v>
      </c>
      <c r="D175" t="str">
        <f t="shared" si="13"/>
        <v/>
      </c>
      <c r="F175" t="e">
        <f t="shared" si="10"/>
        <v>#N/A</v>
      </c>
      <c r="I175">
        <v>36.176499999999997</v>
      </c>
      <c r="J175" s="2" t="e">
        <f t="shared" si="11"/>
        <v>#N/A</v>
      </c>
    </row>
    <row r="176" spans="1:10" x14ac:dyDescent="0.25">
      <c r="A176" s="1">
        <v>0.63748842592592592</v>
      </c>
      <c r="B176" s="2">
        <f t="shared" si="12"/>
        <v>170.00000000000099</v>
      </c>
      <c r="C176">
        <v>38.805399999999999</v>
      </c>
      <c r="D176" t="str">
        <f t="shared" si="13"/>
        <v/>
      </c>
      <c r="F176" t="e">
        <f t="shared" si="10"/>
        <v>#N/A</v>
      </c>
      <c r="I176">
        <v>36.176499999999997</v>
      </c>
      <c r="J176" s="2" t="e">
        <f t="shared" si="11"/>
        <v>#N/A</v>
      </c>
    </row>
    <row r="177" spans="1:10" x14ac:dyDescent="0.25">
      <c r="A177" s="1">
        <v>0.63749999999999996</v>
      </c>
      <c r="B177" s="2">
        <f t="shared" si="12"/>
        <v>170.99999999999795</v>
      </c>
      <c r="C177">
        <v>38.619</v>
      </c>
      <c r="D177" t="str">
        <f t="shared" si="13"/>
        <v/>
      </c>
      <c r="F177" t="e">
        <f t="shared" si="10"/>
        <v>#N/A</v>
      </c>
      <c r="I177">
        <v>36.176499999999997</v>
      </c>
      <c r="J177" s="2" t="e">
        <f t="shared" si="11"/>
        <v>#N/A</v>
      </c>
    </row>
    <row r="178" spans="1:10" x14ac:dyDescent="0.25">
      <c r="A178" s="1">
        <v>0.63751157407407411</v>
      </c>
      <c r="B178" s="2">
        <f t="shared" si="12"/>
        <v>172.00000000000449</v>
      </c>
      <c r="C178">
        <v>38.504600000000003</v>
      </c>
      <c r="D178" t="str">
        <f t="shared" si="13"/>
        <v/>
      </c>
      <c r="F178" t="e">
        <f t="shared" si="10"/>
        <v>#N/A</v>
      </c>
      <c r="I178">
        <v>36.176499999999997</v>
      </c>
      <c r="J178" s="2" t="e">
        <f t="shared" si="11"/>
        <v>#N/A</v>
      </c>
    </row>
    <row r="179" spans="1:10" x14ac:dyDescent="0.25">
      <c r="A179" s="1">
        <v>0.63752314814814814</v>
      </c>
      <c r="B179" s="2">
        <f t="shared" si="12"/>
        <v>173.00000000000148</v>
      </c>
      <c r="C179">
        <v>38.398400000000002</v>
      </c>
      <c r="D179" t="str">
        <f t="shared" si="13"/>
        <v/>
      </c>
      <c r="F179" t="e">
        <f t="shared" si="10"/>
        <v>#N/A</v>
      </c>
      <c r="I179">
        <v>36.176499999999997</v>
      </c>
      <c r="J179" s="2" t="e">
        <f t="shared" si="11"/>
        <v>#N/A</v>
      </c>
    </row>
    <row r="180" spans="1:10" x14ac:dyDescent="0.25">
      <c r="A180" s="1">
        <v>0.63753472222222218</v>
      </c>
      <c r="B180" s="2">
        <f t="shared" si="12"/>
        <v>173.99999999999841</v>
      </c>
      <c r="C180">
        <v>38.290300000000002</v>
      </c>
      <c r="D180" t="str">
        <f t="shared" si="13"/>
        <v/>
      </c>
      <c r="F180" t="e">
        <f t="shared" si="10"/>
        <v>#N/A</v>
      </c>
      <c r="I180">
        <v>36.176499999999997</v>
      </c>
      <c r="J180" s="2" t="e">
        <f t="shared" si="11"/>
        <v>#N/A</v>
      </c>
    </row>
    <row r="181" spans="1:10" x14ac:dyDescent="0.25">
      <c r="A181" s="1">
        <v>0.63754629629629633</v>
      </c>
      <c r="B181" s="2">
        <f t="shared" si="12"/>
        <v>175.00000000000497</v>
      </c>
      <c r="C181">
        <v>38.195300000000003</v>
      </c>
      <c r="D181" t="str">
        <f t="shared" si="13"/>
        <v/>
      </c>
      <c r="F181" t="e">
        <f t="shared" si="10"/>
        <v>#N/A</v>
      </c>
      <c r="I181">
        <v>36.176499999999997</v>
      </c>
      <c r="J181" s="2" t="e">
        <f t="shared" si="11"/>
        <v>#N/A</v>
      </c>
    </row>
    <row r="182" spans="1:10" x14ac:dyDescent="0.25">
      <c r="A182" s="1">
        <v>0.63755787037037037</v>
      </c>
      <c r="B182" s="2">
        <f t="shared" si="12"/>
        <v>176.00000000000193</v>
      </c>
      <c r="C182">
        <v>38.093299999999999</v>
      </c>
      <c r="D182" t="str">
        <f t="shared" si="13"/>
        <v/>
      </c>
      <c r="E182">
        <v>1</v>
      </c>
      <c r="F182">
        <f t="shared" si="10"/>
        <v>38.093299999999999</v>
      </c>
      <c r="I182">
        <v>36.176499999999997</v>
      </c>
      <c r="J182" s="2">
        <f t="shared" si="11"/>
        <v>36.176499999999997</v>
      </c>
    </row>
    <row r="183" spans="1:10" x14ac:dyDescent="0.25">
      <c r="A183" s="1">
        <v>0.63756944444444441</v>
      </c>
      <c r="B183" s="2">
        <f t="shared" si="12"/>
        <v>176.99999999999889</v>
      </c>
      <c r="C183">
        <v>37.999000000000002</v>
      </c>
      <c r="D183" t="str">
        <f t="shared" si="13"/>
        <v/>
      </c>
      <c r="F183" t="e">
        <f t="shared" si="10"/>
        <v>#N/A</v>
      </c>
      <c r="I183">
        <v>36.176499999999997</v>
      </c>
      <c r="J183" s="2" t="e">
        <f t="shared" si="11"/>
        <v>#N/A</v>
      </c>
    </row>
    <row r="184" spans="1:10" x14ac:dyDescent="0.25">
      <c r="A184" s="1">
        <v>0.63758101851851856</v>
      </c>
      <c r="B184" s="2">
        <f t="shared" si="12"/>
        <v>178.00000000000546</v>
      </c>
      <c r="C184">
        <v>37.901699999999998</v>
      </c>
      <c r="D184" t="str">
        <f t="shared" si="13"/>
        <v/>
      </c>
      <c r="F184" t="e">
        <f t="shared" si="10"/>
        <v>#N/A</v>
      </c>
      <c r="I184">
        <v>36.176499999999997</v>
      </c>
      <c r="J184" s="2" t="e">
        <f t="shared" si="11"/>
        <v>#N/A</v>
      </c>
    </row>
    <row r="185" spans="1:10" x14ac:dyDescent="0.25">
      <c r="A185" s="1">
        <v>0.6375925925925926</v>
      </c>
      <c r="B185" s="2">
        <f t="shared" si="12"/>
        <v>179.00000000000239</v>
      </c>
      <c r="C185">
        <v>37.8142</v>
      </c>
      <c r="D185" t="str">
        <f t="shared" si="13"/>
        <v/>
      </c>
      <c r="F185" t="e">
        <f t="shared" si="10"/>
        <v>#N/A</v>
      </c>
      <c r="I185">
        <v>36.176499999999997</v>
      </c>
      <c r="J185" s="2" t="e">
        <f t="shared" si="11"/>
        <v>#N/A</v>
      </c>
    </row>
    <row r="186" spans="1:10" x14ac:dyDescent="0.25">
      <c r="A186" s="1">
        <v>0.63760416666666664</v>
      </c>
      <c r="B186" s="2">
        <f t="shared" si="12"/>
        <v>179.99999999999937</v>
      </c>
      <c r="C186">
        <v>37.722200000000001</v>
      </c>
      <c r="D186" t="str">
        <f t="shared" si="13"/>
        <v/>
      </c>
      <c r="F186" t="e">
        <f t="shared" si="10"/>
        <v>#N/A</v>
      </c>
      <c r="I186">
        <v>36.176499999999997</v>
      </c>
      <c r="J186" s="2" t="e">
        <f t="shared" si="11"/>
        <v>#N/A</v>
      </c>
    </row>
    <row r="187" spans="1:10" x14ac:dyDescent="0.25">
      <c r="A187" s="1">
        <v>0.63761574074074079</v>
      </c>
      <c r="B187" s="2">
        <f t="shared" si="12"/>
        <v>181.00000000000591</v>
      </c>
      <c r="C187">
        <v>37.623899999999999</v>
      </c>
      <c r="D187" t="str">
        <f t="shared" si="13"/>
        <v/>
      </c>
      <c r="F187" t="e">
        <f t="shared" si="10"/>
        <v>#N/A</v>
      </c>
      <c r="I187">
        <v>36.176499999999997</v>
      </c>
      <c r="J187" s="2" t="e">
        <f t="shared" si="11"/>
        <v>#N/A</v>
      </c>
    </row>
    <row r="188" spans="1:10" x14ac:dyDescent="0.25">
      <c r="A188" s="1">
        <v>0.63762731481481483</v>
      </c>
      <c r="B188" s="2">
        <f t="shared" si="12"/>
        <v>182.00000000000287</v>
      </c>
      <c r="C188">
        <v>37.545000000000002</v>
      </c>
      <c r="D188" t="str">
        <f t="shared" si="13"/>
        <v/>
      </c>
      <c r="F188" t="e">
        <f t="shared" si="10"/>
        <v>#N/A</v>
      </c>
      <c r="I188">
        <v>36.176499999999997</v>
      </c>
      <c r="J188" s="2" t="e">
        <f t="shared" si="11"/>
        <v>#N/A</v>
      </c>
    </row>
    <row r="189" spans="1:10" x14ac:dyDescent="0.25">
      <c r="A189" s="1">
        <v>0.63763888888888887</v>
      </c>
      <c r="B189" s="2">
        <f t="shared" si="12"/>
        <v>182.99999999999983</v>
      </c>
      <c r="C189">
        <v>37.444699999999997</v>
      </c>
      <c r="D189" t="str">
        <f t="shared" si="13"/>
        <v/>
      </c>
      <c r="F189" t="e">
        <f t="shared" si="10"/>
        <v>#N/A</v>
      </c>
      <c r="I189">
        <v>36.176499999999997</v>
      </c>
      <c r="J189" s="2" t="e">
        <f t="shared" si="11"/>
        <v>#N/A</v>
      </c>
    </row>
    <row r="190" spans="1:10" x14ac:dyDescent="0.25">
      <c r="A190" s="1">
        <v>0.63765046296296302</v>
      </c>
      <c r="B190" s="2">
        <f t="shared" si="12"/>
        <v>184.00000000000637</v>
      </c>
      <c r="C190">
        <v>37.351700000000001</v>
      </c>
      <c r="D190" t="str">
        <f t="shared" si="13"/>
        <v/>
      </c>
      <c r="F190" t="e">
        <f t="shared" si="10"/>
        <v>#N/A</v>
      </c>
      <c r="I190">
        <v>36.176499999999997</v>
      </c>
      <c r="J190" s="2" t="e">
        <f t="shared" si="11"/>
        <v>#N/A</v>
      </c>
    </row>
    <row r="191" spans="1:10" x14ac:dyDescent="0.25">
      <c r="A191" s="1">
        <v>0.63766203703703705</v>
      </c>
      <c r="B191" s="2">
        <f t="shared" si="12"/>
        <v>185.00000000000335</v>
      </c>
      <c r="C191">
        <v>37.266199999999998</v>
      </c>
      <c r="D191" t="str">
        <f t="shared" si="13"/>
        <v/>
      </c>
      <c r="F191" t="e">
        <f t="shared" si="10"/>
        <v>#N/A</v>
      </c>
      <c r="I191">
        <v>36.176499999999997</v>
      </c>
      <c r="J191" s="2" t="e">
        <f t="shared" si="11"/>
        <v>#N/A</v>
      </c>
    </row>
    <row r="192" spans="1:10" x14ac:dyDescent="0.25">
      <c r="A192" s="1">
        <v>0.63767361111111109</v>
      </c>
      <c r="B192" s="2">
        <f t="shared" si="12"/>
        <v>186.00000000000028</v>
      </c>
      <c r="C192">
        <v>37.181699999999999</v>
      </c>
      <c r="D192" t="str">
        <f t="shared" si="13"/>
        <v/>
      </c>
      <c r="F192" t="e">
        <f t="shared" si="10"/>
        <v>#N/A</v>
      </c>
      <c r="I192">
        <v>36.176499999999997</v>
      </c>
      <c r="J192" s="2" t="e">
        <f t="shared" si="11"/>
        <v>#N/A</v>
      </c>
    </row>
    <row r="193" spans="1:10" x14ac:dyDescent="0.25">
      <c r="A193" s="1">
        <v>0.63768518518518513</v>
      </c>
      <c r="B193" s="2">
        <f t="shared" si="12"/>
        <v>186.99999999999727</v>
      </c>
      <c r="C193">
        <v>37.092599999999997</v>
      </c>
      <c r="D193" t="str">
        <f t="shared" si="13"/>
        <v/>
      </c>
      <c r="F193" t="e">
        <f t="shared" si="10"/>
        <v>#N/A</v>
      </c>
      <c r="I193">
        <v>36.176499999999997</v>
      </c>
      <c r="J193" s="2" t="e">
        <f t="shared" si="11"/>
        <v>#N/A</v>
      </c>
    </row>
    <row r="194" spans="1:10" x14ac:dyDescent="0.25">
      <c r="A194" s="1">
        <v>0.63769675925925928</v>
      </c>
      <c r="B194" s="2">
        <f t="shared" si="12"/>
        <v>188.00000000000381</v>
      </c>
      <c r="C194">
        <v>37.0124</v>
      </c>
      <c r="D194" t="str">
        <f t="shared" si="13"/>
        <v/>
      </c>
      <c r="F194" t="e">
        <f t="shared" si="10"/>
        <v>#N/A</v>
      </c>
      <c r="I194">
        <v>36.176499999999997</v>
      </c>
      <c r="J194" s="2" t="e">
        <f t="shared" si="11"/>
        <v>#N/A</v>
      </c>
    </row>
    <row r="195" spans="1:10" x14ac:dyDescent="0.25">
      <c r="A195" s="1">
        <v>0.63770833333333332</v>
      </c>
      <c r="B195" s="2">
        <f t="shared" si="12"/>
        <v>189.00000000000077</v>
      </c>
      <c r="C195">
        <v>36.920999999999999</v>
      </c>
      <c r="D195" t="str">
        <f t="shared" si="13"/>
        <v/>
      </c>
      <c r="F195" t="e">
        <f t="shared" si="10"/>
        <v>#N/A</v>
      </c>
      <c r="I195">
        <v>36.176499999999997</v>
      </c>
      <c r="J195" s="2" t="e">
        <f t="shared" si="11"/>
        <v>#N/A</v>
      </c>
    </row>
    <row r="196" spans="1:10" x14ac:dyDescent="0.25">
      <c r="A196" s="1">
        <v>0.63771990740740736</v>
      </c>
      <c r="B196" s="2">
        <f t="shared" si="12"/>
        <v>189.99999999999773</v>
      </c>
      <c r="C196">
        <v>36.813499999999998</v>
      </c>
      <c r="D196" t="str">
        <f t="shared" si="13"/>
        <v/>
      </c>
      <c r="F196" t="e">
        <f t="shared" si="10"/>
        <v>#N/A</v>
      </c>
      <c r="I196">
        <v>36.176499999999997</v>
      </c>
      <c r="J196" s="2" t="e">
        <f t="shared" si="11"/>
        <v>#N/A</v>
      </c>
    </row>
    <row r="197" spans="1:10" x14ac:dyDescent="0.25">
      <c r="A197" s="1">
        <v>0.63773148148148151</v>
      </c>
      <c r="B197" s="2">
        <f t="shared" si="12"/>
        <v>191.00000000000426</v>
      </c>
      <c r="C197">
        <v>36.707900000000002</v>
      </c>
      <c r="D197" t="str">
        <f t="shared" si="13"/>
        <v/>
      </c>
      <c r="F197" t="e">
        <f t="shared" si="10"/>
        <v>#N/A</v>
      </c>
      <c r="I197">
        <v>36.176499999999997</v>
      </c>
      <c r="J197" s="2" t="e">
        <f t="shared" si="11"/>
        <v>#N/A</v>
      </c>
    </row>
    <row r="198" spans="1:10" x14ac:dyDescent="0.25">
      <c r="A198" s="1">
        <v>0.63774305555555555</v>
      </c>
      <c r="B198" s="2">
        <f t="shared" si="12"/>
        <v>192.00000000000125</v>
      </c>
      <c r="C198">
        <v>36.586300000000001</v>
      </c>
      <c r="D198" t="str">
        <f t="shared" si="13"/>
        <v/>
      </c>
      <c r="F198" t="e">
        <f t="shared" ref="F198:F261" si="14">IF(E198=1,C198,NA())</f>
        <v>#N/A</v>
      </c>
      <c r="I198">
        <v>36.176499999999997</v>
      </c>
      <c r="J198" s="2" t="e">
        <f t="shared" ref="J198:J259" si="15">IF(E198=1,I198,NA())</f>
        <v>#N/A</v>
      </c>
    </row>
    <row r="199" spans="1:10" x14ac:dyDescent="0.25">
      <c r="A199" s="1">
        <v>0.63775462962962959</v>
      </c>
      <c r="B199" s="2">
        <f t="shared" ref="B199:B259" si="16">(A199-$A$6)*86400</f>
        <v>192.99999999999818</v>
      </c>
      <c r="C199">
        <v>36.49</v>
      </c>
      <c r="D199" t="str">
        <f t="shared" si="13"/>
        <v/>
      </c>
      <c r="F199" t="e">
        <f t="shared" si="14"/>
        <v>#N/A</v>
      </c>
      <c r="I199">
        <v>36.176499999999997</v>
      </c>
      <c r="J199" s="2" t="e">
        <f t="shared" si="15"/>
        <v>#N/A</v>
      </c>
    </row>
    <row r="200" spans="1:10" x14ac:dyDescent="0.25">
      <c r="A200" s="1">
        <v>0.63776620370370374</v>
      </c>
      <c r="B200" s="2">
        <f t="shared" si="16"/>
        <v>194.00000000000475</v>
      </c>
      <c r="C200">
        <v>36.406799999999997</v>
      </c>
      <c r="D200" t="str">
        <f t="shared" si="13"/>
        <v/>
      </c>
      <c r="F200" t="e">
        <f t="shared" si="14"/>
        <v>#N/A</v>
      </c>
      <c r="I200">
        <v>36.176499999999997</v>
      </c>
      <c r="J200" s="2" t="e">
        <f t="shared" si="15"/>
        <v>#N/A</v>
      </c>
    </row>
    <row r="201" spans="1:10" x14ac:dyDescent="0.25">
      <c r="A201" s="1">
        <v>0.63777777777777778</v>
      </c>
      <c r="B201" s="2">
        <f t="shared" si="16"/>
        <v>195.00000000000171</v>
      </c>
      <c r="C201">
        <v>36.329900000000002</v>
      </c>
      <c r="D201" t="str">
        <f t="shared" si="13"/>
        <v/>
      </c>
      <c r="F201" t="e">
        <f t="shared" si="14"/>
        <v>#N/A</v>
      </c>
      <c r="I201">
        <v>36.176499999999997</v>
      </c>
      <c r="J201" s="2" t="e">
        <f t="shared" si="15"/>
        <v>#N/A</v>
      </c>
    </row>
    <row r="202" spans="1:10" x14ac:dyDescent="0.25">
      <c r="A202" s="1">
        <v>0.63778935185185182</v>
      </c>
      <c r="B202" s="2">
        <f t="shared" si="16"/>
        <v>195.99999999999866</v>
      </c>
      <c r="C202">
        <v>36.247</v>
      </c>
      <c r="D202" t="str">
        <f t="shared" si="13"/>
        <v/>
      </c>
      <c r="F202" t="e">
        <f t="shared" si="14"/>
        <v>#N/A</v>
      </c>
      <c r="I202">
        <v>36.176499999999997</v>
      </c>
      <c r="J202" s="2" t="e">
        <f t="shared" si="15"/>
        <v>#N/A</v>
      </c>
    </row>
    <row r="203" spans="1:10" x14ac:dyDescent="0.25">
      <c r="A203" s="1">
        <v>0.63780092592592597</v>
      </c>
      <c r="B203" s="2">
        <f t="shared" si="16"/>
        <v>197.00000000000523</v>
      </c>
      <c r="C203">
        <v>36.152999999999999</v>
      </c>
      <c r="D203" t="str">
        <f t="shared" si="13"/>
        <v/>
      </c>
      <c r="F203" t="e">
        <f t="shared" si="14"/>
        <v>#N/A</v>
      </c>
      <c r="I203">
        <v>36.176499999999997</v>
      </c>
      <c r="J203" s="2" t="e">
        <f t="shared" si="15"/>
        <v>#N/A</v>
      </c>
    </row>
    <row r="204" spans="1:10" x14ac:dyDescent="0.25">
      <c r="A204" s="1">
        <v>0.6378125</v>
      </c>
      <c r="B204" s="2">
        <f t="shared" si="16"/>
        <v>198.00000000000216</v>
      </c>
      <c r="C204">
        <v>36.114199999999997</v>
      </c>
      <c r="D204" t="str">
        <f t="shared" si="13"/>
        <v>BOTTOM</v>
      </c>
      <c r="E204">
        <v>1</v>
      </c>
      <c r="F204">
        <f t="shared" si="14"/>
        <v>36.114199999999997</v>
      </c>
      <c r="I204">
        <v>36.176499999999997</v>
      </c>
      <c r="J204" s="2">
        <f t="shared" si="15"/>
        <v>36.176499999999997</v>
      </c>
    </row>
    <row r="205" spans="1:10" x14ac:dyDescent="0.25">
      <c r="A205" s="1">
        <v>0.63782407407407404</v>
      </c>
      <c r="B205" s="2">
        <f t="shared" si="16"/>
        <v>198.99999999999915</v>
      </c>
      <c r="C205">
        <v>36.207900000000002</v>
      </c>
      <c r="D205" t="str">
        <f t="shared" si="13"/>
        <v/>
      </c>
      <c r="F205" t="e">
        <f t="shared" si="14"/>
        <v>#N/A</v>
      </c>
      <c r="I205">
        <v>36.176499999999997</v>
      </c>
      <c r="J205" s="2" t="e">
        <f t="shared" si="15"/>
        <v>#N/A</v>
      </c>
    </row>
    <row r="206" spans="1:10" x14ac:dyDescent="0.25">
      <c r="A206" s="1">
        <v>0.63783564814814819</v>
      </c>
      <c r="B206" s="2">
        <f t="shared" si="16"/>
        <v>200.00000000000568</v>
      </c>
      <c r="C206">
        <v>36.602400000000003</v>
      </c>
      <c r="D206" t="str">
        <f t="shared" si="13"/>
        <v/>
      </c>
      <c r="E206">
        <v>1</v>
      </c>
      <c r="F206">
        <f t="shared" si="14"/>
        <v>36.602400000000003</v>
      </c>
      <c r="I206">
        <v>36.176499999999997</v>
      </c>
      <c r="J206" s="2">
        <f t="shared" si="15"/>
        <v>36.176499999999997</v>
      </c>
    </row>
    <row r="207" spans="1:10" x14ac:dyDescent="0.25">
      <c r="A207" s="1">
        <v>0.63784722222222223</v>
      </c>
      <c r="B207" s="2">
        <f t="shared" si="16"/>
        <v>201.00000000000264</v>
      </c>
      <c r="C207">
        <v>37.175400000000003</v>
      </c>
      <c r="D207" t="str">
        <f t="shared" si="13"/>
        <v/>
      </c>
      <c r="F207" t="e">
        <f t="shared" si="14"/>
        <v>#N/A</v>
      </c>
      <c r="I207">
        <v>36.176499999999997</v>
      </c>
      <c r="J207" s="2" t="e">
        <f t="shared" si="15"/>
        <v>#N/A</v>
      </c>
    </row>
    <row r="208" spans="1:10" x14ac:dyDescent="0.25">
      <c r="A208" s="1">
        <v>0.63785879629629627</v>
      </c>
      <c r="B208" s="2">
        <f t="shared" si="16"/>
        <v>201.9999999999996</v>
      </c>
      <c r="C208">
        <v>37.699199999999998</v>
      </c>
      <c r="D208" t="str">
        <f t="shared" si="13"/>
        <v/>
      </c>
      <c r="F208" t="e">
        <f t="shared" si="14"/>
        <v>#N/A</v>
      </c>
      <c r="I208">
        <v>36.176499999999997</v>
      </c>
      <c r="J208" s="2" t="e">
        <f t="shared" si="15"/>
        <v>#N/A</v>
      </c>
    </row>
    <row r="209" spans="1:10" x14ac:dyDescent="0.25">
      <c r="A209" s="1">
        <v>0.63787037037037042</v>
      </c>
      <c r="B209" s="2">
        <f t="shared" si="16"/>
        <v>203.00000000000614</v>
      </c>
      <c r="C209">
        <v>38.099899999999998</v>
      </c>
      <c r="D209" t="str">
        <f t="shared" si="13"/>
        <v/>
      </c>
      <c r="E209">
        <v>1</v>
      </c>
      <c r="F209">
        <f t="shared" si="14"/>
        <v>38.099899999999998</v>
      </c>
      <c r="I209">
        <v>36.176499999999997</v>
      </c>
      <c r="J209" s="2">
        <f t="shared" si="15"/>
        <v>36.176499999999997</v>
      </c>
    </row>
    <row r="210" spans="1:10" x14ac:dyDescent="0.25">
      <c r="A210" s="1">
        <v>0.63788194444444446</v>
      </c>
      <c r="B210" s="2">
        <f t="shared" si="16"/>
        <v>204.00000000000313</v>
      </c>
      <c r="C210">
        <v>38.4527</v>
      </c>
      <c r="D210" t="str">
        <f t="shared" si="13"/>
        <v/>
      </c>
      <c r="F210" t="e">
        <f t="shared" si="14"/>
        <v>#N/A</v>
      </c>
      <c r="I210">
        <v>36.176499999999997</v>
      </c>
      <c r="J210" s="2" t="e">
        <f t="shared" si="15"/>
        <v>#N/A</v>
      </c>
    </row>
    <row r="211" spans="1:10" x14ac:dyDescent="0.25">
      <c r="A211" s="1">
        <v>0.6378935185185185</v>
      </c>
      <c r="B211" s="2">
        <f t="shared" si="16"/>
        <v>205.00000000000006</v>
      </c>
      <c r="C211">
        <v>38.718600000000002</v>
      </c>
      <c r="D211" t="str">
        <f t="shared" si="13"/>
        <v/>
      </c>
      <c r="F211" t="e">
        <f t="shared" si="14"/>
        <v>#N/A</v>
      </c>
      <c r="I211">
        <v>36.176499999999997</v>
      </c>
      <c r="J211" s="2" t="e">
        <f t="shared" si="15"/>
        <v>#N/A</v>
      </c>
    </row>
    <row r="212" spans="1:10" x14ac:dyDescent="0.25">
      <c r="A212" s="1">
        <v>0.63790509259259254</v>
      </c>
      <c r="B212" s="2">
        <f t="shared" si="16"/>
        <v>205.99999999999704</v>
      </c>
      <c r="C212">
        <v>38.9251</v>
      </c>
      <c r="D212" t="str">
        <f t="shared" si="13"/>
        <v/>
      </c>
      <c r="F212" t="e">
        <f t="shared" si="14"/>
        <v>#N/A</v>
      </c>
      <c r="I212">
        <v>36.176499999999997</v>
      </c>
      <c r="J212" s="2" t="e">
        <f t="shared" si="15"/>
        <v>#N/A</v>
      </c>
    </row>
    <row r="213" spans="1:10" x14ac:dyDescent="0.25">
      <c r="A213" s="1">
        <v>0.63791666666666669</v>
      </c>
      <c r="B213" s="2">
        <f t="shared" si="16"/>
        <v>207.00000000000358</v>
      </c>
      <c r="C213">
        <v>39.087499999999999</v>
      </c>
      <c r="D213" t="str">
        <f t="shared" si="13"/>
        <v/>
      </c>
      <c r="E213">
        <v>1</v>
      </c>
      <c r="F213">
        <f t="shared" si="14"/>
        <v>39.087499999999999</v>
      </c>
      <c r="I213">
        <v>36.176499999999997</v>
      </c>
      <c r="J213" s="2">
        <f t="shared" si="15"/>
        <v>36.176499999999997</v>
      </c>
    </row>
    <row r="214" spans="1:10" x14ac:dyDescent="0.25">
      <c r="A214" s="1">
        <v>0.63792824074074073</v>
      </c>
      <c r="B214" s="2">
        <f t="shared" si="16"/>
        <v>208.00000000000054</v>
      </c>
      <c r="C214">
        <v>39.214100000000002</v>
      </c>
      <c r="D214" t="str">
        <f t="shared" si="13"/>
        <v/>
      </c>
      <c r="F214" t="e">
        <f t="shared" si="14"/>
        <v>#N/A</v>
      </c>
      <c r="I214">
        <v>36.176499999999997</v>
      </c>
      <c r="J214" s="2" t="e">
        <f t="shared" si="15"/>
        <v>#N/A</v>
      </c>
    </row>
    <row r="215" spans="1:10" x14ac:dyDescent="0.25">
      <c r="A215" s="1">
        <v>0.63793981481481477</v>
      </c>
      <c r="B215" s="2">
        <f t="shared" si="16"/>
        <v>208.9999999999975</v>
      </c>
      <c r="C215">
        <v>39.292000000000002</v>
      </c>
      <c r="D215" t="str">
        <f t="shared" si="13"/>
        <v/>
      </c>
      <c r="F215" t="e">
        <f t="shared" si="14"/>
        <v>#N/A</v>
      </c>
      <c r="I215">
        <v>36.176499999999997</v>
      </c>
      <c r="J215" s="2" t="e">
        <f t="shared" si="15"/>
        <v>#N/A</v>
      </c>
    </row>
    <row r="216" spans="1:10" x14ac:dyDescent="0.25">
      <c r="A216" s="1">
        <v>0.63795138888888892</v>
      </c>
      <c r="B216" s="2">
        <f t="shared" si="16"/>
        <v>210.00000000000404</v>
      </c>
      <c r="C216">
        <v>39.344900000000003</v>
      </c>
      <c r="D216" t="str">
        <f t="shared" si="13"/>
        <v/>
      </c>
      <c r="F216" t="e">
        <f t="shared" si="14"/>
        <v>#N/A</v>
      </c>
      <c r="I216">
        <v>36.176499999999997</v>
      </c>
      <c r="J216" s="2" t="e">
        <f t="shared" si="15"/>
        <v>#N/A</v>
      </c>
    </row>
    <row r="217" spans="1:10" x14ac:dyDescent="0.25">
      <c r="A217" s="1">
        <v>0.63796296296296295</v>
      </c>
      <c r="B217" s="2">
        <f t="shared" si="16"/>
        <v>211.00000000000102</v>
      </c>
      <c r="C217">
        <v>39.375799999999998</v>
      </c>
      <c r="D217" t="str">
        <f t="shared" si="13"/>
        <v/>
      </c>
      <c r="F217" t="e">
        <f t="shared" si="14"/>
        <v>#N/A</v>
      </c>
      <c r="I217">
        <v>36.176499999999997</v>
      </c>
      <c r="J217" s="2" t="e">
        <f t="shared" si="15"/>
        <v>#N/A</v>
      </c>
    </row>
    <row r="218" spans="1:10" x14ac:dyDescent="0.25">
      <c r="A218" s="1">
        <v>0.63797453703703699</v>
      </c>
      <c r="B218" s="2">
        <f t="shared" si="16"/>
        <v>211.99999999999795</v>
      </c>
      <c r="C218">
        <v>39.387700000000002</v>
      </c>
      <c r="D218" t="str">
        <f t="shared" si="13"/>
        <v>PEAK</v>
      </c>
      <c r="E218">
        <v>1</v>
      </c>
      <c r="F218">
        <f t="shared" si="14"/>
        <v>39.387700000000002</v>
      </c>
      <c r="I218">
        <v>36.176499999999997</v>
      </c>
      <c r="J218" s="2">
        <f t="shared" si="15"/>
        <v>36.176499999999997</v>
      </c>
    </row>
    <row r="219" spans="1:10" x14ac:dyDescent="0.25">
      <c r="A219" s="1">
        <v>0.63798611111111114</v>
      </c>
      <c r="B219" s="2">
        <f t="shared" si="16"/>
        <v>213.00000000000452</v>
      </c>
      <c r="C219">
        <v>39.371899999999997</v>
      </c>
      <c r="D219" t="str">
        <f t="shared" si="13"/>
        <v/>
      </c>
      <c r="F219" t="e">
        <f t="shared" si="14"/>
        <v>#N/A</v>
      </c>
      <c r="I219">
        <v>36.176499999999997</v>
      </c>
      <c r="J219" s="2" t="e">
        <f t="shared" si="15"/>
        <v>#N/A</v>
      </c>
    </row>
    <row r="220" spans="1:10" x14ac:dyDescent="0.25">
      <c r="A220" s="1">
        <v>0.63799768518518518</v>
      </c>
      <c r="B220" s="2">
        <f t="shared" si="16"/>
        <v>214.00000000000148</v>
      </c>
      <c r="C220">
        <v>39.346200000000003</v>
      </c>
      <c r="D220" t="str">
        <f t="shared" si="13"/>
        <v/>
      </c>
      <c r="F220" t="e">
        <f t="shared" si="14"/>
        <v>#N/A</v>
      </c>
      <c r="I220">
        <v>36.176499999999997</v>
      </c>
      <c r="J220" s="2" t="e">
        <f t="shared" si="15"/>
        <v>#N/A</v>
      </c>
    </row>
    <row r="221" spans="1:10" x14ac:dyDescent="0.25">
      <c r="A221" s="1">
        <v>0.63800925925925922</v>
      </c>
      <c r="B221" s="2">
        <f t="shared" si="16"/>
        <v>214.99999999999844</v>
      </c>
      <c r="C221">
        <v>39.297899999999998</v>
      </c>
      <c r="D221" t="str">
        <f t="shared" si="13"/>
        <v/>
      </c>
      <c r="F221" t="e">
        <f t="shared" si="14"/>
        <v>#N/A</v>
      </c>
      <c r="I221">
        <v>36.176499999999997</v>
      </c>
      <c r="J221" s="2" t="e">
        <f t="shared" si="15"/>
        <v>#N/A</v>
      </c>
    </row>
    <row r="222" spans="1:10" x14ac:dyDescent="0.25">
      <c r="A222" s="1">
        <v>0.63802083333333337</v>
      </c>
      <c r="B222" s="2">
        <f t="shared" si="16"/>
        <v>216.000000000005</v>
      </c>
      <c r="C222">
        <v>39.239699999999999</v>
      </c>
      <c r="D222" t="str">
        <f t="shared" ref="D222:D259" si="17">IF(AND(C222&gt;C221,C222&gt;C223),"PEAK",
 IF(AND(C222&lt;C221,C222&lt;C223),"BOTTOM",""))</f>
        <v/>
      </c>
      <c r="F222" t="e">
        <f t="shared" si="14"/>
        <v>#N/A</v>
      </c>
      <c r="I222">
        <v>36.176499999999997</v>
      </c>
      <c r="J222" s="2" t="e">
        <f t="shared" si="15"/>
        <v>#N/A</v>
      </c>
    </row>
    <row r="223" spans="1:10" x14ac:dyDescent="0.25">
      <c r="A223" s="1">
        <v>0.63803240740740741</v>
      </c>
      <c r="B223" s="2">
        <f t="shared" si="16"/>
        <v>217.00000000000193</v>
      </c>
      <c r="C223">
        <v>39.167099999999998</v>
      </c>
      <c r="D223" t="str">
        <f t="shared" si="17"/>
        <v/>
      </c>
      <c r="F223" t="e">
        <f t="shared" si="14"/>
        <v>#N/A</v>
      </c>
      <c r="I223">
        <v>36.176499999999997</v>
      </c>
      <c r="J223" s="2" t="e">
        <f t="shared" si="15"/>
        <v>#N/A</v>
      </c>
    </row>
    <row r="224" spans="1:10" x14ac:dyDescent="0.25">
      <c r="A224" s="1">
        <v>0.63804398148148145</v>
      </c>
      <c r="B224" s="2">
        <f t="shared" si="16"/>
        <v>217.99999999999892</v>
      </c>
      <c r="C224">
        <v>39.082599999999999</v>
      </c>
      <c r="D224" t="str">
        <f t="shared" si="17"/>
        <v/>
      </c>
      <c r="E224">
        <v>1</v>
      </c>
      <c r="F224">
        <f t="shared" si="14"/>
        <v>39.082599999999999</v>
      </c>
      <c r="I224">
        <v>36.176499999999997</v>
      </c>
      <c r="J224" s="2">
        <f t="shared" si="15"/>
        <v>36.176499999999997</v>
      </c>
    </row>
    <row r="225" spans="1:10" x14ac:dyDescent="0.25">
      <c r="A225" s="1">
        <v>0.6380555555555556</v>
      </c>
      <c r="B225" s="2">
        <f t="shared" si="16"/>
        <v>219.00000000000546</v>
      </c>
      <c r="C225">
        <v>38.994799999999998</v>
      </c>
      <c r="D225" t="str">
        <f t="shared" si="17"/>
        <v/>
      </c>
      <c r="F225" t="e">
        <f t="shared" si="14"/>
        <v>#N/A</v>
      </c>
      <c r="I225">
        <v>36.176499999999997</v>
      </c>
      <c r="J225" s="2" t="e">
        <f t="shared" si="15"/>
        <v>#N/A</v>
      </c>
    </row>
    <row r="226" spans="1:10" x14ac:dyDescent="0.25">
      <c r="A226" s="1">
        <v>0.63806712962962964</v>
      </c>
      <c r="B226" s="2">
        <f t="shared" si="16"/>
        <v>220.00000000000242</v>
      </c>
      <c r="C226">
        <v>38.9011</v>
      </c>
      <c r="D226" t="str">
        <f t="shared" si="17"/>
        <v/>
      </c>
      <c r="F226" t="e">
        <f t="shared" si="14"/>
        <v>#N/A</v>
      </c>
      <c r="I226">
        <v>36.176499999999997</v>
      </c>
      <c r="J226" s="2" t="e">
        <f t="shared" si="15"/>
        <v>#N/A</v>
      </c>
    </row>
    <row r="227" spans="1:10" x14ac:dyDescent="0.25">
      <c r="A227" s="1">
        <v>0.63807870370370368</v>
      </c>
      <c r="B227" s="2">
        <f t="shared" si="16"/>
        <v>220.99999999999937</v>
      </c>
      <c r="C227">
        <v>38.8202</v>
      </c>
      <c r="D227" t="str">
        <f t="shared" si="17"/>
        <v/>
      </c>
      <c r="F227" t="e">
        <f t="shared" si="14"/>
        <v>#N/A</v>
      </c>
      <c r="I227">
        <v>36.176499999999997</v>
      </c>
      <c r="J227" s="2" t="e">
        <f t="shared" si="15"/>
        <v>#N/A</v>
      </c>
    </row>
    <row r="228" spans="1:10" x14ac:dyDescent="0.25">
      <c r="A228" s="1">
        <v>0.63809027777777783</v>
      </c>
      <c r="B228" s="2">
        <f t="shared" si="16"/>
        <v>222.00000000000591</v>
      </c>
      <c r="C228">
        <v>38.738999999999997</v>
      </c>
      <c r="D228" t="str">
        <f t="shared" si="17"/>
        <v/>
      </c>
      <c r="F228" t="e">
        <f t="shared" si="14"/>
        <v>#N/A</v>
      </c>
      <c r="I228">
        <v>36.176499999999997</v>
      </c>
      <c r="J228" s="2" t="e">
        <f t="shared" si="15"/>
        <v>#N/A</v>
      </c>
    </row>
    <row r="229" spans="1:10" x14ac:dyDescent="0.25">
      <c r="A229" s="1">
        <v>0.63810185185185186</v>
      </c>
      <c r="B229" s="2">
        <f t="shared" si="16"/>
        <v>223.0000000000029</v>
      </c>
      <c r="C229">
        <v>38.6312</v>
      </c>
      <c r="D229" t="str">
        <f t="shared" si="17"/>
        <v/>
      </c>
      <c r="F229" t="e">
        <f t="shared" si="14"/>
        <v>#N/A</v>
      </c>
      <c r="I229">
        <v>36.176499999999997</v>
      </c>
      <c r="J229" s="2" t="e">
        <f t="shared" si="15"/>
        <v>#N/A</v>
      </c>
    </row>
    <row r="230" spans="1:10" x14ac:dyDescent="0.25">
      <c r="A230" s="1">
        <v>0.6381134259259259</v>
      </c>
      <c r="B230" s="2">
        <f t="shared" si="16"/>
        <v>223.99999999999983</v>
      </c>
      <c r="C230">
        <v>38.536499999999997</v>
      </c>
      <c r="D230" t="str">
        <f t="shared" si="17"/>
        <v/>
      </c>
      <c r="F230" t="e">
        <f t="shared" si="14"/>
        <v>#N/A</v>
      </c>
      <c r="I230">
        <v>36.176499999999997</v>
      </c>
      <c r="J230" s="2" t="e">
        <f t="shared" si="15"/>
        <v>#N/A</v>
      </c>
    </row>
    <row r="231" spans="1:10" x14ac:dyDescent="0.25">
      <c r="A231" s="1">
        <v>0.63812500000000005</v>
      </c>
      <c r="B231" s="2">
        <f t="shared" si="16"/>
        <v>225.00000000000639</v>
      </c>
      <c r="C231">
        <v>38.448099999999997</v>
      </c>
      <c r="D231" t="str">
        <f t="shared" si="17"/>
        <v/>
      </c>
      <c r="F231" t="e">
        <f t="shared" si="14"/>
        <v>#N/A</v>
      </c>
      <c r="I231">
        <v>36.176499999999997</v>
      </c>
      <c r="J231" s="2" t="e">
        <f t="shared" si="15"/>
        <v>#N/A</v>
      </c>
    </row>
    <row r="232" spans="1:10" x14ac:dyDescent="0.25">
      <c r="A232" s="1">
        <v>0.63813657407407409</v>
      </c>
      <c r="B232" s="2">
        <f t="shared" si="16"/>
        <v>226.00000000000335</v>
      </c>
      <c r="C232">
        <v>38.335299999999997</v>
      </c>
      <c r="D232" t="str">
        <f t="shared" si="17"/>
        <v/>
      </c>
      <c r="F232" t="e">
        <f t="shared" si="14"/>
        <v>#N/A</v>
      </c>
      <c r="I232">
        <v>36.176499999999997</v>
      </c>
      <c r="J232" s="2" t="e">
        <f t="shared" si="15"/>
        <v>#N/A</v>
      </c>
    </row>
    <row r="233" spans="1:10" x14ac:dyDescent="0.25">
      <c r="A233" s="1">
        <v>0.63814814814814813</v>
      </c>
      <c r="B233" s="2">
        <f t="shared" si="16"/>
        <v>227.00000000000031</v>
      </c>
      <c r="C233">
        <v>38.239600000000003</v>
      </c>
      <c r="D233" t="str">
        <f t="shared" si="17"/>
        <v/>
      </c>
      <c r="F233" t="e">
        <f t="shared" si="14"/>
        <v>#N/A</v>
      </c>
      <c r="I233">
        <v>36.176499999999997</v>
      </c>
      <c r="J233" s="2" t="e">
        <f t="shared" si="15"/>
        <v>#N/A</v>
      </c>
    </row>
    <row r="234" spans="1:10" x14ac:dyDescent="0.25">
      <c r="A234" s="1">
        <v>0.63815972222222217</v>
      </c>
      <c r="B234" s="2">
        <f t="shared" si="16"/>
        <v>227.99999999999727</v>
      </c>
      <c r="C234">
        <v>38.1357</v>
      </c>
      <c r="D234" t="str">
        <f t="shared" si="17"/>
        <v/>
      </c>
      <c r="F234" t="e">
        <f t="shared" si="14"/>
        <v>#N/A</v>
      </c>
      <c r="I234">
        <v>36.176499999999997</v>
      </c>
      <c r="J234" s="2" t="e">
        <f t="shared" si="15"/>
        <v>#N/A</v>
      </c>
    </row>
    <row r="235" spans="1:10" x14ac:dyDescent="0.25">
      <c r="A235" s="1">
        <v>0.63817129629629632</v>
      </c>
      <c r="B235" s="2">
        <f t="shared" si="16"/>
        <v>229.00000000000381</v>
      </c>
      <c r="C235">
        <v>38.031500000000001</v>
      </c>
      <c r="D235" t="str">
        <f t="shared" si="17"/>
        <v/>
      </c>
      <c r="E235">
        <v>1</v>
      </c>
      <c r="F235">
        <f t="shared" si="14"/>
        <v>38.031500000000001</v>
      </c>
      <c r="I235">
        <v>36.176499999999997</v>
      </c>
      <c r="J235" s="2">
        <f t="shared" si="15"/>
        <v>36.176499999999997</v>
      </c>
    </row>
    <row r="236" spans="1:10" x14ac:dyDescent="0.25">
      <c r="A236" s="1">
        <v>0.63818287037037036</v>
      </c>
      <c r="B236" s="2">
        <f t="shared" si="16"/>
        <v>230.0000000000008</v>
      </c>
      <c r="C236">
        <v>37.941099999999999</v>
      </c>
      <c r="D236" t="str">
        <f t="shared" si="17"/>
        <v/>
      </c>
      <c r="F236" t="e">
        <f t="shared" si="14"/>
        <v>#N/A</v>
      </c>
      <c r="I236">
        <v>36.176499999999997</v>
      </c>
      <c r="J236" s="2" t="e">
        <f t="shared" si="15"/>
        <v>#N/A</v>
      </c>
    </row>
    <row r="237" spans="1:10" x14ac:dyDescent="0.25">
      <c r="A237" s="1">
        <v>0.6381944444444444</v>
      </c>
      <c r="B237" s="2">
        <f t="shared" si="16"/>
        <v>230.99999999999773</v>
      </c>
      <c r="C237">
        <v>37.834600000000002</v>
      </c>
      <c r="D237" t="str">
        <f t="shared" si="17"/>
        <v/>
      </c>
      <c r="F237" t="e">
        <f t="shared" si="14"/>
        <v>#N/A</v>
      </c>
      <c r="I237">
        <v>36.176499999999997</v>
      </c>
      <c r="J237" s="2" t="e">
        <f t="shared" si="15"/>
        <v>#N/A</v>
      </c>
    </row>
    <row r="238" spans="1:10" x14ac:dyDescent="0.25">
      <c r="A238" s="1">
        <v>0.63820601851851855</v>
      </c>
      <c r="B238" s="2">
        <f t="shared" si="16"/>
        <v>232.00000000000429</v>
      </c>
      <c r="C238">
        <v>37.735599999999998</v>
      </c>
      <c r="D238" t="str">
        <f t="shared" si="17"/>
        <v/>
      </c>
      <c r="F238" t="e">
        <f t="shared" si="14"/>
        <v>#N/A</v>
      </c>
      <c r="I238">
        <v>36.176499999999997</v>
      </c>
      <c r="J238" s="2" t="e">
        <f t="shared" si="15"/>
        <v>#N/A</v>
      </c>
    </row>
    <row r="239" spans="1:10" x14ac:dyDescent="0.25">
      <c r="A239" s="1">
        <v>0.63821759259259259</v>
      </c>
      <c r="B239" s="2">
        <f t="shared" si="16"/>
        <v>233.00000000000125</v>
      </c>
      <c r="C239">
        <v>37.640300000000003</v>
      </c>
      <c r="D239" t="str">
        <f t="shared" si="17"/>
        <v/>
      </c>
      <c r="F239" t="e">
        <f t="shared" si="14"/>
        <v>#N/A</v>
      </c>
      <c r="I239">
        <v>36.176499999999997</v>
      </c>
      <c r="J239" s="2" t="e">
        <f t="shared" si="15"/>
        <v>#N/A</v>
      </c>
    </row>
    <row r="240" spans="1:10" x14ac:dyDescent="0.25">
      <c r="A240" s="1">
        <v>0.63822916666666663</v>
      </c>
      <c r="B240" s="2">
        <f t="shared" si="16"/>
        <v>233.99999999999821</v>
      </c>
      <c r="C240">
        <v>37.545999999999999</v>
      </c>
      <c r="D240" t="str">
        <f t="shared" si="17"/>
        <v/>
      </c>
      <c r="F240" t="e">
        <f t="shared" si="14"/>
        <v>#N/A</v>
      </c>
      <c r="I240">
        <v>36.176499999999997</v>
      </c>
      <c r="J240" s="2" t="e">
        <f t="shared" si="15"/>
        <v>#N/A</v>
      </c>
    </row>
    <row r="241" spans="1:10" x14ac:dyDescent="0.25">
      <c r="A241" s="1">
        <v>0.63824074074074078</v>
      </c>
      <c r="B241" s="2">
        <f t="shared" si="16"/>
        <v>235.00000000000477</v>
      </c>
      <c r="C241">
        <v>37.444400000000002</v>
      </c>
      <c r="D241" t="str">
        <f t="shared" si="17"/>
        <v/>
      </c>
      <c r="F241" t="e">
        <f t="shared" si="14"/>
        <v>#N/A</v>
      </c>
      <c r="I241">
        <v>36.176499999999997</v>
      </c>
      <c r="J241" s="2" t="e">
        <f t="shared" si="15"/>
        <v>#N/A</v>
      </c>
    </row>
    <row r="242" spans="1:10" x14ac:dyDescent="0.25">
      <c r="A242" s="1">
        <v>0.63825231481481481</v>
      </c>
      <c r="B242" s="2">
        <f t="shared" si="16"/>
        <v>236.00000000000171</v>
      </c>
      <c r="C242">
        <v>37.346400000000003</v>
      </c>
      <c r="D242" t="str">
        <f t="shared" si="17"/>
        <v/>
      </c>
      <c r="F242" t="e">
        <f t="shared" si="14"/>
        <v>#N/A</v>
      </c>
      <c r="I242">
        <v>36.176499999999997</v>
      </c>
      <c r="J242" s="2" t="e">
        <f t="shared" si="15"/>
        <v>#N/A</v>
      </c>
    </row>
    <row r="243" spans="1:10" x14ac:dyDescent="0.25">
      <c r="A243" s="1">
        <v>0.63826388888888885</v>
      </c>
      <c r="B243" s="2">
        <f t="shared" si="16"/>
        <v>236.99999999999869</v>
      </c>
      <c r="C243">
        <v>37.210900000000002</v>
      </c>
      <c r="D243" t="str">
        <f t="shared" si="17"/>
        <v/>
      </c>
      <c r="F243" t="e">
        <f t="shared" si="14"/>
        <v>#N/A</v>
      </c>
      <c r="I243">
        <v>36.176499999999997</v>
      </c>
      <c r="J243" s="2" t="e">
        <f t="shared" si="15"/>
        <v>#N/A</v>
      </c>
    </row>
    <row r="244" spans="1:10" x14ac:dyDescent="0.25">
      <c r="A244" s="1">
        <v>0.638275462962963</v>
      </c>
      <c r="B244" s="2">
        <f t="shared" si="16"/>
        <v>238.00000000000523</v>
      </c>
      <c r="C244">
        <v>37.113599999999998</v>
      </c>
      <c r="D244" t="str">
        <f t="shared" si="17"/>
        <v/>
      </c>
      <c r="F244" t="e">
        <f t="shared" si="14"/>
        <v>#N/A</v>
      </c>
      <c r="I244">
        <v>36.176499999999997</v>
      </c>
      <c r="J244" s="2" t="e">
        <f t="shared" si="15"/>
        <v>#N/A</v>
      </c>
    </row>
    <row r="245" spans="1:10" x14ac:dyDescent="0.25">
      <c r="A245" s="1">
        <v>0.63828703703703704</v>
      </c>
      <c r="B245" s="2">
        <f t="shared" si="16"/>
        <v>239.00000000000219</v>
      </c>
      <c r="C245">
        <v>37.012999999999998</v>
      </c>
      <c r="D245" t="str">
        <f t="shared" si="17"/>
        <v/>
      </c>
      <c r="E245">
        <v>1</v>
      </c>
      <c r="F245">
        <f t="shared" si="14"/>
        <v>37.012999999999998</v>
      </c>
      <c r="I245">
        <v>36.176499999999997</v>
      </c>
      <c r="J245" s="2">
        <f t="shared" si="15"/>
        <v>36.176499999999997</v>
      </c>
    </row>
    <row r="246" spans="1:10" x14ac:dyDescent="0.25">
      <c r="A246" s="1">
        <v>0.63829861111111108</v>
      </c>
      <c r="B246" s="2">
        <f t="shared" si="16"/>
        <v>239.99999999999915</v>
      </c>
      <c r="C246">
        <v>36.922600000000003</v>
      </c>
      <c r="D246" t="str">
        <f t="shared" si="17"/>
        <v/>
      </c>
      <c r="F246" t="e">
        <f t="shared" si="14"/>
        <v>#N/A</v>
      </c>
      <c r="I246">
        <v>36.176499999999997</v>
      </c>
      <c r="J246" s="2" t="e">
        <f t="shared" si="15"/>
        <v>#N/A</v>
      </c>
    </row>
    <row r="247" spans="1:10" x14ac:dyDescent="0.25">
      <c r="A247" s="1">
        <v>0.63831018518518523</v>
      </c>
      <c r="B247" s="2">
        <f t="shared" si="16"/>
        <v>241.00000000000568</v>
      </c>
      <c r="C247">
        <v>36.826300000000003</v>
      </c>
      <c r="D247" t="str">
        <f t="shared" si="17"/>
        <v/>
      </c>
      <c r="F247" t="e">
        <f t="shared" si="14"/>
        <v>#N/A</v>
      </c>
      <c r="I247">
        <v>36.176499999999997</v>
      </c>
      <c r="J247" s="2" t="e">
        <f t="shared" si="15"/>
        <v>#N/A</v>
      </c>
    </row>
    <row r="248" spans="1:10" x14ac:dyDescent="0.25">
      <c r="A248" s="1">
        <v>0.63832175925925927</v>
      </c>
      <c r="B248" s="2">
        <f t="shared" si="16"/>
        <v>242.00000000000267</v>
      </c>
      <c r="C248">
        <v>36.7346</v>
      </c>
      <c r="D248" t="str">
        <f t="shared" si="17"/>
        <v/>
      </c>
      <c r="F248" t="e">
        <f t="shared" si="14"/>
        <v>#N/A</v>
      </c>
      <c r="I248">
        <v>36.176499999999997</v>
      </c>
      <c r="J248" s="2" t="e">
        <f t="shared" si="15"/>
        <v>#N/A</v>
      </c>
    </row>
    <row r="249" spans="1:10" x14ac:dyDescent="0.25">
      <c r="A249" s="1">
        <v>0.63833333333333331</v>
      </c>
      <c r="B249" s="2">
        <f t="shared" si="16"/>
        <v>242.9999999999996</v>
      </c>
      <c r="C249">
        <v>36.641500000000001</v>
      </c>
      <c r="D249" t="str">
        <f t="shared" si="17"/>
        <v/>
      </c>
      <c r="F249" t="e">
        <f t="shared" si="14"/>
        <v>#N/A</v>
      </c>
      <c r="I249">
        <v>36.176499999999997</v>
      </c>
      <c r="J249" s="2" t="e">
        <f t="shared" si="15"/>
        <v>#N/A</v>
      </c>
    </row>
    <row r="250" spans="1:10" x14ac:dyDescent="0.25">
      <c r="A250" s="1">
        <v>0.63834490740740746</v>
      </c>
      <c r="B250" s="2">
        <f t="shared" si="16"/>
        <v>244.00000000000617</v>
      </c>
      <c r="C250">
        <v>36.553100000000001</v>
      </c>
      <c r="D250" t="str">
        <f t="shared" si="17"/>
        <v/>
      </c>
      <c r="F250" t="e">
        <f t="shared" si="14"/>
        <v>#N/A</v>
      </c>
      <c r="I250">
        <v>36.176499999999997</v>
      </c>
      <c r="J250" s="2" t="e">
        <f t="shared" si="15"/>
        <v>#N/A</v>
      </c>
    </row>
    <row r="251" spans="1:10" x14ac:dyDescent="0.25">
      <c r="A251" s="1">
        <v>0.6383564814814815</v>
      </c>
      <c r="B251" s="2">
        <f t="shared" si="16"/>
        <v>245.00000000000313</v>
      </c>
      <c r="C251">
        <v>36.469900000000003</v>
      </c>
      <c r="D251" t="str">
        <f t="shared" si="17"/>
        <v/>
      </c>
      <c r="F251" t="e">
        <f t="shared" si="14"/>
        <v>#N/A</v>
      </c>
      <c r="I251">
        <v>36.176499999999997</v>
      </c>
      <c r="J251" s="2" t="e">
        <f t="shared" si="15"/>
        <v>#N/A</v>
      </c>
    </row>
    <row r="252" spans="1:10" x14ac:dyDescent="0.25">
      <c r="A252" s="1">
        <v>0.63836805555555554</v>
      </c>
      <c r="B252" s="2">
        <f t="shared" si="16"/>
        <v>246.00000000000009</v>
      </c>
      <c r="C252">
        <v>36.375900000000001</v>
      </c>
      <c r="D252" t="str">
        <f t="shared" si="17"/>
        <v/>
      </c>
      <c r="F252" t="e">
        <f t="shared" si="14"/>
        <v>#N/A</v>
      </c>
      <c r="I252">
        <v>36.176499999999997</v>
      </c>
      <c r="J252" s="2" t="e">
        <f t="shared" si="15"/>
        <v>#N/A</v>
      </c>
    </row>
    <row r="253" spans="1:10" x14ac:dyDescent="0.25">
      <c r="A253" s="1">
        <v>0.63837962962962957</v>
      </c>
      <c r="B253" s="2">
        <f t="shared" si="16"/>
        <v>246.99999999999704</v>
      </c>
      <c r="C253">
        <v>36.286200000000001</v>
      </c>
      <c r="D253" t="str">
        <f t="shared" si="17"/>
        <v/>
      </c>
      <c r="F253" t="e">
        <f t="shared" si="14"/>
        <v>#N/A</v>
      </c>
      <c r="I253">
        <v>36.176499999999997</v>
      </c>
      <c r="J253" s="2" t="e">
        <f t="shared" si="15"/>
        <v>#N/A</v>
      </c>
    </row>
    <row r="254" spans="1:10" x14ac:dyDescent="0.25">
      <c r="A254" s="1">
        <v>0.63839120370370372</v>
      </c>
      <c r="B254" s="2">
        <f t="shared" si="16"/>
        <v>248.00000000000358</v>
      </c>
      <c r="C254">
        <v>36.192100000000003</v>
      </c>
      <c r="D254" t="str">
        <f t="shared" si="17"/>
        <v/>
      </c>
      <c r="F254" t="e">
        <f t="shared" si="14"/>
        <v>#N/A</v>
      </c>
      <c r="I254">
        <v>36.176499999999997</v>
      </c>
      <c r="J254" s="2" t="e">
        <f t="shared" si="15"/>
        <v>#N/A</v>
      </c>
    </row>
    <row r="255" spans="1:10" x14ac:dyDescent="0.25">
      <c r="A255" s="1">
        <v>0.63840277777777776</v>
      </c>
      <c r="B255" s="2">
        <f t="shared" si="16"/>
        <v>249.00000000000057</v>
      </c>
      <c r="C255">
        <v>36.104999999999997</v>
      </c>
      <c r="D255" t="str">
        <f t="shared" si="17"/>
        <v/>
      </c>
      <c r="F255" t="e">
        <f t="shared" si="14"/>
        <v>#N/A</v>
      </c>
      <c r="I255">
        <v>36.176499999999997</v>
      </c>
      <c r="J255" s="2" t="e">
        <f t="shared" si="15"/>
        <v>#N/A</v>
      </c>
    </row>
    <row r="256" spans="1:10" x14ac:dyDescent="0.25">
      <c r="A256" s="1">
        <v>0.6384143518518518</v>
      </c>
      <c r="B256" s="2">
        <f t="shared" si="16"/>
        <v>249.9999999999975</v>
      </c>
      <c r="C256">
        <v>36.054000000000002</v>
      </c>
      <c r="D256" t="str">
        <f t="shared" si="17"/>
        <v>BOTTOM</v>
      </c>
      <c r="F256" t="e">
        <f t="shared" si="14"/>
        <v>#N/A</v>
      </c>
      <c r="I256">
        <v>36.176499999999997</v>
      </c>
      <c r="J256" s="2" t="e">
        <f t="shared" si="15"/>
        <v>#N/A</v>
      </c>
    </row>
    <row r="257" spans="1:10" x14ac:dyDescent="0.25">
      <c r="A257" s="1">
        <v>0.63842592592592595</v>
      </c>
      <c r="B257" s="2">
        <f t="shared" si="16"/>
        <v>251.00000000000406</v>
      </c>
      <c r="C257">
        <v>36.143799999999999</v>
      </c>
      <c r="D257" t="str">
        <f t="shared" si="17"/>
        <v/>
      </c>
      <c r="F257" t="e">
        <f t="shared" si="14"/>
        <v>#N/A</v>
      </c>
      <c r="I257">
        <v>36.176499999999997</v>
      </c>
      <c r="J257" s="2" t="e">
        <f t="shared" si="15"/>
        <v>#N/A</v>
      </c>
    </row>
    <row r="258" spans="1:10" x14ac:dyDescent="0.25">
      <c r="A258" s="1">
        <v>0.63843749999999999</v>
      </c>
      <c r="B258" s="2">
        <f t="shared" si="16"/>
        <v>252.00000000000102</v>
      </c>
      <c r="C258">
        <v>36.580100000000002</v>
      </c>
      <c r="D258" t="str">
        <f t="shared" si="17"/>
        <v/>
      </c>
      <c r="F258" t="e">
        <f t="shared" si="14"/>
        <v>#N/A</v>
      </c>
      <c r="I258">
        <v>36.176499999999997</v>
      </c>
      <c r="J258" s="2" t="e">
        <f t="shared" si="15"/>
        <v>#N/A</v>
      </c>
    </row>
    <row r="259" spans="1:10" x14ac:dyDescent="0.25">
      <c r="A259" s="1">
        <v>0.63844907407407403</v>
      </c>
      <c r="B259" s="2">
        <f t="shared" si="16"/>
        <v>252.99999999999798</v>
      </c>
      <c r="C259">
        <v>37.2941</v>
      </c>
      <c r="D259" t="str">
        <f t="shared" si="17"/>
        <v>PEAK</v>
      </c>
      <c r="F259" t="e">
        <f t="shared" si="14"/>
        <v>#N/A</v>
      </c>
      <c r="I259">
        <v>36.176499999999997</v>
      </c>
      <c r="J259" s="2" t="e">
        <f t="shared" si="15"/>
        <v>#N/A</v>
      </c>
    </row>
    <row r="260" spans="1:10" x14ac:dyDescent="0.25">
      <c r="A260" s="1"/>
      <c r="B260" s="2"/>
      <c r="C260"/>
    </row>
    <row r="261" spans="1:10" x14ac:dyDescent="0.25">
      <c r="A261" s="1"/>
      <c r="B261" s="2"/>
      <c r="C261"/>
    </row>
    <row r="262" spans="1:10" x14ac:dyDescent="0.25">
      <c r="A262" s="1"/>
      <c r="B262" s="2"/>
      <c r="C262"/>
    </row>
    <row r="263" spans="1:10" x14ac:dyDescent="0.25">
      <c r="A263" s="1"/>
      <c r="B263" s="2"/>
      <c r="C263"/>
    </row>
    <row r="264" spans="1:10" x14ac:dyDescent="0.25">
      <c r="A264" s="1"/>
      <c r="B264" s="2"/>
      <c r="C264"/>
    </row>
    <row r="265" spans="1:10" x14ac:dyDescent="0.25">
      <c r="A265" s="1"/>
      <c r="B265" s="2"/>
      <c r="C265"/>
    </row>
    <row r="266" spans="1:10" x14ac:dyDescent="0.25">
      <c r="A266" s="1"/>
      <c r="B266" s="2"/>
      <c r="C266"/>
    </row>
    <row r="267" spans="1:10" x14ac:dyDescent="0.25">
      <c r="A267" s="1"/>
      <c r="B267" s="2"/>
      <c r="C267"/>
    </row>
    <row r="268" spans="1:10" x14ac:dyDescent="0.25">
      <c r="A268" s="1"/>
      <c r="B268" s="2"/>
      <c r="C268"/>
    </row>
    <row r="269" spans="1:10" x14ac:dyDescent="0.25">
      <c r="A269" s="1"/>
      <c r="B269" s="2"/>
      <c r="C269"/>
    </row>
    <row r="270" spans="1:10" x14ac:dyDescent="0.25">
      <c r="A270" s="1"/>
      <c r="B270" s="2"/>
      <c r="C270"/>
    </row>
    <row r="271" spans="1:10" x14ac:dyDescent="0.25">
      <c r="A271" s="1"/>
      <c r="B271" s="2"/>
      <c r="C271"/>
    </row>
    <row r="272" spans="1:10" x14ac:dyDescent="0.25">
      <c r="A272" s="1"/>
      <c r="B272" s="2"/>
      <c r="C272"/>
    </row>
    <row r="273" spans="1:3" x14ac:dyDescent="0.25">
      <c r="A273" s="1"/>
      <c r="B273" s="2"/>
      <c r="C273"/>
    </row>
    <row r="274" spans="1:3" x14ac:dyDescent="0.25">
      <c r="A274" s="1"/>
      <c r="B274" s="2"/>
      <c r="C274"/>
    </row>
    <row r="275" spans="1:3" x14ac:dyDescent="0.25">
      <c r="A275" s="1"/>
      <c r="B275" s="2"/>
      <c r="C275"/>
    </row>
    <row r="276" spans="1:3" x14ac:dyDescent="0.25">
      <c r="A276" s="1"/>
      <c r="B276" s="2"/>
      <c r="C276"/>
    </row>
    <row r="277" spans="1:3" x14ac:dyDescent="0.25">
      <c r="A277" s="1"/>
      <c r="B277" s="2"/>
      <c r="C277"/>
    </row>
    <row r="278" spans="1:3" x14ac:dyDescent="0.25">
      <c r="A278" s="1"/>
      <c r="B278" s="2"/>
      <c r="C278"/>
    </row>
    <row r="279" spans="1:3" x14ac:dyDescent="0.25">
      <c r="A279" s="1"/>
      <c r="B279" s="2"/>
      <c r="C279"/>
    </row>
    <row r="280" spans="1:3" x14ac:dyDescent="0.25">
      <c r="A280" s="1"/>
      <c r="B280" s="2"/>
      <c r="C280"/>
    </row>
    <row r="281" spans="1:3" x14ac:dyDescent="0.25">
      <c r="A281" s="1"/>
      <c r="B281" s="2"/>
      <c r="C281"/>
    </row>
    <row r="282" spans="1:3" x14ac:dyDescent="0.25">
      <c r="A282" s="1"/>
      <c r="B282" s="2"/>
      <c r="C282"/>
    </row>
    <row r="283" spans="1:3" x14ac:dyDescent="0.25">
      <c r="A283" s="1"/>
      <c r="B283" s="2"/>
      <c r="C283"/>
    </row>
    <row r="284" spans="1:3" x14ac:dyDescent="0.25">
      <c r="A284" s="1"/>
      <c r="B284" s="2"/>
      <c r="C284"/>
    </row>
    <row r="285" spans="1:3" x14ac:dyDescent="0.25">
      <c r="A285" s="1"/>
      <c r="B285" s="2"/>
      <c r="C285"/>
    </row>
    <row r="286" spans="1:3" x14ac:dyDescent="0.25">
      <c r="A286" s="1"/>
      <c r="B286" s="2"/>
      <c r="C286"/>
    </row>
    <row r="287" spans="1:3" x14ac:dyDescent="0.25">
      <c r="A287" s="1"/>
      <c r="B287" s="2"/>
      <c r="C287"/>
    </row>
    <row r="288" spans="1:3" x14ac:dyDescent="0.25">
      <c r="A288" s="1"/>
      <c r="B288" s="2"/>
      <c r="C288"/>
    </row>
    <row r="289" spans="1:3" x14ac:dyDescent="0.25">
      <c r="A289" s="1"/>
      <c r="B289" s="2"/>
      <c r="C289"/>
    </row>
    <row r="290" spans="1:3" x14ac:dyDescent="0.25">
      <c r="A290" s="1"/>
      <c r="B290" s="2"/>
      <c r="C290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VETRAK_CTVRTE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Vojta Solanský</dc:creator>
  <cp:lastModifiedBy>Solanský Vojtěch</cp:lastModifiedBy>
  <cp:lastPrinted>2026-02-08T15:55:54Z</cp:lastPrinted>
  <dcterms:created xsi:type="dcterms:W3CDTF">2026-02-08T09:24:30Z</dcterms:created>
  <dcterms:modified xsi:type="dcterms:W3CDTF">2026-02-08T19:54:30Z</dcterms:modified>
</cp:coreProperties>
</file>